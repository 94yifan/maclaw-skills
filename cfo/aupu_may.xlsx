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40"/>
  </bookViews>
  <sheets>
    <sheet name="广告发布确认单-汇总" sheetId="2" r:id="rId1"/>
    <sheet name="618报备博主下单-热能环浴霸" sheetId="3" r:id="rId2"/>
    <sheet name="618报备博主下单-音乐热能环浴霸" sheetId="4" r:id="rId3"/>
    <sheet name="618报备博主下单-美容舱浴霸" sheetId="5" r:id="rId4"/>
    <sheet name="618报备博主代下单-美容舱浴霸" sheetId="6" r:id="rId5"/>
    <sheet name="效果广告投放" sheetId="7" r:id="rId6"/>
    <sheet name="CID投放" sheetId="8" r:id="rId7"/>
    <sheet name="5.1-6.30赔付返货明细  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<sst xmlns="http://schemas.openxmlformats.org/spreadsheetml/2006/main" count="819" uniqueCount="131">
  <si>
    <t>奥普5.1-6.30发布确认单</t>
  </si>
  <si>
    <r>
      <rPr>
        <sz val="10"/>
        <color rgb="FF000000"/>
        <rFont val="宋体"/>
        <charset val="134"/>
      </rPr>
      <t>甲、乙方于2026年  1  月  1  日签订采购框架协议</t>
    </r>
    <r>
      <rPr>
        <b/>
        <sz val="10"/>
        <color rgb="FF000000"/>
        <rFont val="宋体"/>
        <charset val="134"/>
      </rPr>
      <t>，</t>
    </r>
    <r>
      <rPr>
        <sz val="10"/>
        <color rgb="FF000000"/>
        <rFont val="宋体"/>
        <charset val="134"/>
      </rPr>
      <t>甲方为推广其形象、产品或服务委托乙方发布广告。以下为甲方发布广告（下称“广告发布”）。邮件经确认后，即可生效。</t>
    </r>
  </si>
  <si>
    <t>序号</t>
  </si>
  <si>
    <t>推广类型</t>
  </si>
  <si>
    <t>详细情况</t>
  </si>
  <si>
    <t>金额</t>
  </si>
  <si>
    <t>报备博主代下单-美容舱浴霸</t>
  </si>
  <si>
    <r>
      <rPr>
        <u/>
        <sz val="10"/>
        <color theme="10"/>
        <rFont val="宋体"/>
        <charset val="134"/>
      </rPr>
      <t>618报备博主代下单-美容舱浴霸</t>
    </r>
  </si>
  <si>
    <t>报备博主下单-美容舱浴霸</t>
  </si>
  <si>
    <r>
      <rPr>
        <u/>
        <sz val="10"/>
        <color theme="10"/>
        <rFont val="宋体"/>
        <charset val="134"/>
      </rPr>
      <t>618报备博主下单-美容舱浴霸</t>
    </r>
  </si>
  <si>
    <t>报备博主下单-音乐热能环浴霸</t>
  </si>
  <si>
    <r>
      <rPr>
        <u/>
        <sz val="10"/>
        <color theme="10"/>
        <rFont val="宋体"/>
        <charset val="134"/>
      </rPr>
      <t>618报备博主下单-音乐热能环浴霸</t>
    </r>
  </si>
  <si>
    <t>报备博主下单-热能环浴霸</t>
  </si>
  <si>
    <r>
      <rPr>
        <u/>
        <sz val="10"/>
        <color theme="10"/>
        <rFont val="宋体"/>
        <charset val="134"/>
      </rPr>
      <t>618报备博主下单-热能环浴霸</t>
    </r>
  </si>
  <si>
    <t>效果广告投放</t>
  </si>
  <si>
    <r>
      <rPr>
        <u/>
        <sz val="10"/>
        <color theme="10"/>
        <rFont val="宋体"/>
        <charset val="134"/>
      </rPr>
      <t>效果广告投放</t>
    </r>
  </si>
  <si>
    <t>CID投放</t>
  </si>
  <si>
    <r>
      <rPr>
        <u/>
        <sz val="10"/>
        <color theme="10"/>
        <rFont val="宋体"/>
        <charset val="134"/>
      </rPr>
      <t>CID投放</t>
    </r>
  </si>
  <si>
    <t>项目费用总计</t>
  </si>
  <si>
    <t>效果广告返点7%</t>
  </si>
  <si>
    <t>5.1-6.30赔付返货明细</t>
  </si>
  <si>
    <t>5.1-6.30实际支付费用</t>
  </si>
  <si>
    <t>甲方：奥普家居股份有限公司</t>
  </si>
  <si>
    <t>乙方：上海曼拾文化传播有限公司</t>
  </si>
  <si>
    <t>联系地址：浙江省杭州市钱塘区下沙街道经济技术开发区21号大街奥普家居股份有限公司</t>
  </si>
  <si>
    <t>联系地址：上海市浦东新区沪南路2175号复地万科活力中心B座2716-2717室</t>
  </si>
  <si>
    <t>联系人：薛炜</t>
  </si>
  <si>
    <t>联系人：YOYO</t>
  </si>
  <si>
    <t>E-mail：xuewei@aupu.net</t>
  </si>
  <si>
    <r>
      <rPr>
        <sz val="10"/>
        <rFont val="宋体"/>
        <charset val="134"/>
      </rPr>
      <t>E-mail：</t>
    </r>
    <r>
      <rPr>
        <u/>
        <sz val="10"/>
        <color theme="10"/>
        <rFont val="宋体"/>
        <charset val="134"/>
      </rPr>
      <t>yoyo</t>
    </r>
    <r>
      <rPr>
        <u/>
        <sz val="10"/>
        <color theme="10"/>
        <rFont val="宋体"/>
        <charset val="134"/>
      </rPr>
      <t>@meansplus.com</t>
    </r>
  </si>
  <si>
    <t>1、本广告发布确认单作为框架合同的不可分割的重要组成部分，具体同等的法律效力。本广告发布确认单与主合同不一致的，以广告发布确认单为准，本广告发布确认单未约定事宜，按主合同执行。
2、本广告发布确认单自双方邮件确定之日起生效。
3、本广告发布确认单执行过程中，甲方若需调整合作内容者，应以邮件形式提前3个工作日通知乙方。</t>
  </si>
  <si>
    <t>签署日期：</t>
  </si>
  <si>
    <t>博主</t>
  </si>
  <si>
    <t>下单时间</t>
  </si>
  <si>
    <t>报备形式</t>
  </si>
  <si>
    <t>达人净报价</t>
  </si>
  <si>
    <t>平台手续费</t>
  </si>
  <si>
    <t>小红星手续费</t>
  </si>
  <si>
    <t>费用报销</t>
  </si>
  <si>
    <t>笔记链接</t>
  </si>
  <si>
    <t>笔记发布时间</t>
  </si>
  <si>
    <t>阿楠不在</t>
  </si>
  <si>
    <t>报备图文</t>
  </si>
  <si>
    <t>-</t>
  </si>
  <si>
    <r>
      <rPr>
        <u/>
        <sz val="10"/>
        <color theme="10"/>
        <rFont val="宋体"/>
        <charset val="134"/>
      </rPr>
      <t>https://www.xiaohongshu.com/explore/69fed74f0000000022024740?app_platform=ios&amp;app_version=9.19.3&amp;share_from_user_hidden=true&amp;xsec_source=app_share&amp;type=normal&amp;xsec_token=CBAsIMWDNLAL-1fIIqM-tf7IW4uHxRGeu4x1rIaCTsFh0=&amp;author_share=1&amp;xhsshare=WeixinSession&amp;shareRedId=N0c5MDlGR0s6TEZFSko2R0c8OTlJRjhP&amp;apptime=1778336600&amp;share_id=37720be544e94ce4a6318e074f6bb507&amp;wechatWid=ee6c63b42987b57007ad227237bfa2ff&amp;wechatOrigin=menu</t>
    </r>
  </si>
  <si>
    <t>小米粒的家</t>
  </si>
  <si>
    <r>
      <rPr>
        <sz val="1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http://xhslink.com/o/6SvrWCLAxcH</t>
    </r>
    <r>
      <rPr>
        <sz val="10"/>
        <rFont val="宋体"/>
        <charset val="134"/>
      </rPr>
      <t xml:space="preserve"> </t>
    </r>
  </si>
  <si>
    <t>泡泡糖的糖</t>
  </si>
  <si>
    <r>
      <rPr>
        <u/>
        <sz val="10"/>
        <color theme="10"/>
        <rFont val="宋体"/>
        <charset val="134"/>
      </rPr>
      <t>https://www.xiaohongshu.com/discovery/item/6a04427e0000000006030049?app_platform=android&amp;ignoreEngage=true&amp;app_version=9.29.0&amp;share_from_user_hidden=true&amp;xsec_source=app_share&amp;type=normal&amp;xsec_token=CBhlXcNf9OWXVsdKBOMgDrSUuTXLMVRGK3pVTQ1akj7zI%3D&amp;author_share=1&amp;xhsshare=&amp;shareRedId=N0xHNzhHODo2NzUyOTgwNjY0OThKNj5B&amp;apptime=1778721692&amp;share_id=50b5c4d4cfb94c14b3b9f89d1a604e63&amp;share_channel=copy_link</t>
    </r>
  </si>
  <si>
    <t>清晨那一缕阳光</t>
  </si>
  <si>
    <r>
      <rPr>
        <u/>
        <sz val="10"/>
        <color theme="10"/>
        <rFont val="宋体"/>
        <charset val="134"/>
      </rPr>
      <t>https://www.xiaohongshu.com/explore/69fdbd5b0000000023007f4f?app_platform=android&amp;ignoreEngage=true&amp;app_version=9.29.0&amp;share_from_user_hidden=true&amp;xsec_source=app_share&amp;type=normal&amp;xsec_token=CBX77ABygYXv1nCk-FZgKklWsd8Pwun50PnQf5pOzXCM8=&amp;author_share=1&amp;shareRedId=OD47N0g5R082NzUyOTgwNjg7OTg6PUlC&amp;apptime=1778574827&amp;share_id=45e78a5a149c44dd992ee4f60c087fb4&amp;share_channel=copy_link&amp;appuid=6897e4cf00000000280168c9&amp;xhsshare=CopyLink&amp;wechatWid=ee6c63b42987b57007ad227237bfa2ff&amp;wechatOrigin=menu</t>
    </r>
  </si>
  <si>
    <t>张张的窝</t>
  </si>
  <si>
    <t>报备视频</t>
  </si>
  <si>
    <r>
      <rPr>
        <u/>
        <sz val="10"/>
        <color theme="10"/>
        <rFont val="宋体"/>
        <charset val="134"/>
      </rPr>
      <t>http://xhslink.com/o/6Wip6nybdVP</t>
    </r>
    <r>
      <rPr>
        <sz val="10"/>
        <rFont val="宋体"/>
        <charset val="134"/>
      </rPr>
      <t xml:space="preserve"> </t>
    </r>
  </si>
  <si>
    <t>小辣椒</t>
  </si>
  <si>
    <r>
      <rPr>
        <sz val="1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https://www.xiaohongshu.com/discovery/item/6a07049f0000000035021bc1?source=webshare&amp;xhsshare=pc_web&amp;xsec_token=ABCKxQKzL4CrD6snRkvTeoxksKCf35QtFiFxknJSqS0IY=&amp;xsec_source=pc_share</t>
    </r>
  </si>
  <si>
    <t>斑比不踩坑</t>
  </si>
  <si>
    <r>
      <rPr>
        <u/>
        <sz val="10"/>
        <color theme="10"/>
        <rFont val="宋体"/>
        <charset val="134"/>
      </rPr>
      <t>http://xhslink.com/o/1zbYIOItdf0</t>
    </r>
    <r>
      <rPr>
        <sz val="10"/>
        <rFont val="宋体"/>
        <charset val="134"/>
      </rPr>
      <t xml:space="preserve"> </t>
    </r>
  </si>
  <si>
    <t>魏知新</t>
  </si>
  <si>
    <r>
      <rPr>
        <u/>
        <sz val="10"/>
        <color theme="10"/>
        <rFont val="宋体"/>
        <charset val="134"/>
      </rPr>
      <t>https://www.xiaohongshu.com/explore/6a020ec9000000003601bda9?app_platform=android&amp;ignoreEngage=true&amp;app_version=9.29.0&amp;share_from_user_hidden=true&amp;xsec_source=app_share&amp;type=video&amp;xsec_token=CBrIzMYMKOJ2wj24Ufbha0Cg7HXyfWZgYOS5BaMy3XRrA=&amp;author_share=1&amp;xhsshare=&amp;shareRedId=ODhEMDVKRz82NzUyOTgwNjdFOTk4OkpK&amp;apptime=1778586527&amp;share_id=c23bfadbd9924649a3c2bfd6e11d3083&amp;share_channel=wechat&amp;wechatWid=ee6c63b42987b57007ad227237bfa2ff&amp;wechatOrigin=menu</t>
    </r>
  </si>
  <si>
    <t>康康黑科技</t>
  </si>
  <si>
    <r>
      <rPr>
        <sz val="1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http://xhslink.com/o/53qQb9Xz6tt</t>
    </r>
    <r>
      <rPr>
        <sz val="10"/>
        <rFont val="宋体"/>
        <charset val="134"/>
      </rPr>
      <t xml:space="preserve"> </t>
    </r>
  </si>
  <si>
    <t>张张张张s</t>
  </si>
  <si>
    <t>视频+图文1000</t>
  </si>
  <si>
    <r>
      <rPr>
        <u/>
        <sz val="10"/>
        <color theme="10"/>
        <rFont val="宋体"/>
        <charset val="134"/>
      </rPr>
      <t>https://www.xiaohongshu.com/explore/6a0c3758000000000803f79c?app_platform=ios&amp;app_version=9.30.1&amp;share_from_user_hidden=true&amp;xsec_source=app_share&amp;type=video&amp;xsec_token=CBMrMgJWf9xAviynl4Ti4Q7MsuZDWzJoU6Xew1gsFrAJ8=&amp;author_share=1&amp;xhsshare=WeixinSession&amp;shareRedId=ODhFRkc3NEo2NzUyOTgwNjZIOTdHNkdA&amp;apptime=1779241358&amp;share_id=4aa3e2f4335644398fe60ff842d6414e&amp;wechatWid=ee6c63b42987b57007ad227237bfa2ff&amp;wechatOrigin=menu</t>
    </r>
  </si>
  <si>
    <t>张小宁</t>
  </si>
  <si>
    <r>
      <rPr>
        <u/>
        <sz val="10"/>
        <color theme="10"/>
        <rFont val="宋体"/>
        <charset val="134"/>
      </rPr>
      <t>https://www.xiaohongshu.com/explore/6a0c364d0000000007010e7d?app_platform=ios&amp;app_version=9.30.1&amp;share_from_user_hidden=true&amp;xsec_source=app_share&amp;type=video&amp;xsec_token=CB_SelW4tsePAvc1A5Sbjpo0cWr-gHizzCUzkHv5-gv3A=&amp;author_share=1&amp;xhsshare=WeixinSession&amp;shareRedId=N0pFMkg6RU02NzUyOTgwNjY0OTdFRzxO&amp;apptime=1779186399&amp;share_id=4474b8334e3c4acc92af234ef56889a4&amp;wechatWid=ee6c63b42987b57007ad227237bfa2ff&amp;wechatOrigin=menu</t>
    </r>
  </si>
  <si>
    <t>杜杜的小家🏠（软装ing</t>
  </si>
  <si>
    <r>
      <rPr>
        <sz val="1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http://xhslink.com/o/2iZn5U7flZz</t>
    </r>
    <r>
      <rPr>
        <sz val="10"/>
        <rFont val="宋体"/>
        <charset val="134"/>
      </rPr>
      <t xml:space="preserve"> </t>
    </r>
  </si>
  <si>
    <t>不是春雪</t>
  </si>
  <si>
    <r>
      <rPr>
        <u/>
        <sz val="10"/>
        <color theme="10"/>
        <rFont val="宋体"/>
        <charset val="134"/>
      </rPr>
      <t>http://xhslink.com/o/63INe8Yg4by</t>
    </r>
    <r>
      <rPr>
        <sz val="10"/>
        <rFont val="宋体"/>
        <charset val="134"/>
      </rPr>
      <t xml:space="preserve"> </t>
    </r>
  </si>
  <si>
    <t>南瓜</t>
  </si>
  <si>
    <r>
      <rPr>
        <u/>
        <sz val="10"/>
        <color theme="10"/>
        <rFont val="宋体"/>
        <charset val="134"/>
      </rPr>
      <t>https://www.xiaohongshu.com/user/profile/5bf0fefa870bdf0001003cc0/6a1027cd000000003701d429?xsec_token=ABAGKSTztk2Lr5IL79S9cdoAFyLxHhEzJHFAeiET6gGN4=&amp;xsec_source=pc_user</t>
    </r>
  </si>
  <si>
    <t>大纯生</t>
  </si>
  <si>
    <r>
      <rPr>
        <u/>
        <sz val="10"/>
        <color theme="10"/>
        <rFont val="宋体"/>
        <charset val="134"/>
      </rPr>
      <t>https://www.xiaohongshu.com/explore/6a22daa2000000002201bb35?app_platform=android&amp;ignoreEngage=true&amp;app_version=9.33.3&amp;share_from_user_hidden=true&amp;xsec_source=app_share&amp;type=video&amp;xsec_token=CBepgjqMfuRaLE10XwKdcj9LgbJBxGWS9x0NToBuBAplQ=&amp;author_share=1&amp;xhsshare=&amp;shareRedId=N0xHNDU9Sk02NzUyOTgwNjY0OTdFODdM&amp;apptime=1780669741&amp;share_id=92407b79df654313a0244fb46b54cab8&amp;share_channel=wechat&amp;wechatWid=ee6c63b42987b57007ad227237bfa2ff&amp;wechatOrigin=menu</t>
    </r>
  </si>
  <si>
    <t>费用总计</t>
  </si>
  <si>
    <t>Lynn辟蹊径</t>
  </si>
  <si>
    <t>视频报备</t>
  </si>
  <si>
    <r>
      <rPr>
        <u/>
        <sz val="10"/>
        <color theme="10"/>
        <rFont val="宋体"/>
        <charset val="134"/>
      </rPr>
      <t>https://www.xiaohongshu.com/user/profile/650da7290000000012007773/6a1673e6000000003601c3f6?xsec_token=AB4Lkb-Y65LmgP_Iv9truNruFM-hgoMb-6UyOmnKrF7wE=&amp;xsec_source=pc_user</t>
    </r>
  </si>
  <si>
    <t>在下阿森！</t>
  </si>
  <si>
    <r>
      <rPr>
        <u/>
        <sz val="10"/>
        <color theme="10"/>
        <rFont val="宋体"/>
        <charset val="134"/>
      </rPr>
      <t>http://xhslink.com/o/4r9gUyDTISo</t>
    </r>
    <r>
      <rPr>
        <sz val="10"/>
        <rFont val="宋体"/>
        <charset val="134"/>
      </rPr>
      <t xml:space="preserve"> </t>
    </r>
  </si>
  <si>
    <t>少女心窝子</t>
  </si>
  <si>
    <t>图文报备</t>
  </si>
  <si>
    <r>
      <rPr>
        <sz val="1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http://xhslink.com/o/5kke4chZWZc</t>
    </r>
    <r>
      <rPr>
        <sz val="10"/>
        <rFont val="宋体"/>
        <charset val="134"/>
      </rPr>
      <t xml:space="preserve"> </t>
    </r>
  </si>
  <si>
    <t>刘心奶黄包</t>
  </si>
  <si>
    <r>
      <rPr>
        <u/>
        <sz val="10"/>
        <color theme="10"/>
        <rFont val="宋体"/>
        <charset val="134"/>
      </rPr>
      <t>https://www.xiaohongshu.com/explore/6a02ec7f0000000008024a34?app_platform=ios&amp;app_version=9.29&amp;share_from_user_hidden=true&amp;xsec_source=app_share&amp;type=normal&amp;xsec_token=CBT759HhUmhBdaQ-otzhbKEtzVrgbqeoiPpa8dRE7jPaM=&amp;author_share=1&amp;xhsshare=CopyLink&amp;shareRedId=N0hGNTs4N0I5ODhEPz0wNjY0O0g0OjpN&amp;apptime=1778722683&amp;share_id=be3454676d304b85af78d60f5c67b688&amp;wechatWid=ee6c63b42987b57007ad227237bfa2ff&amp;wechatOrigin=menu</t>
    </r>
  </si>
  <si>
    <t>凌波又又</t>
  </si>
  <si>
    <r>
      <rPr>
        <sz val="1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http://xhslink.com/o/canWUZe2qj</t>
    </r>
    <r>
      <rPr>
        <sz val="10"/>
        <rFont val="宋体"/>
        <charset val="134"/>
      </rPr>
      <t xml:space="preserve"> </t>
    </r>
  </si>
  <si>
    <t>小邹和小黄的家</t>
  </si>
  <si>
    <r>
      <rPr>
        <u/>
        <sz val="10"/>
        <color theme="10"/>
        <rFont val="宋体"/>
        <charset val="134"/>
      </rPr>
      <t>http://xhslink.com/o/77qAmvJSdgM</t>
    </r>
    <r>
      <rPr>
        <sz val="10"/>
        <rFont val="宋体"/>
        <charset val="134"/>
      </rPr>
      <t xml:space="preserve"> </t>
    </r>
  </si>
  <si>
    <t>夹心的新家</t>
  </si>
  <si>
    <r>
      <rPr>
        <u/>
        <sz val="10"/>
        <color theme="10"/>
        <rFont val="宋体"/>
        <charset val="134"/>
      </rPr>
      <t>http://xhslink.com/o/1MVnzp1oNVG</t>
    </r>
    <r>
      <rPr>
        <sz val="10"/>
        <rFont val="宋体"/>
        <charset val="134"/>
      </rPr>
      <t xml:space="preserve"> </t>
    </r>
  </si>
  <si>
    <t>疯狂小杨sir</t>
  </si>
  <si>
    <r>
      <rPr>
        <u/>
        <sz val="10"/>
        <color theme="10"/>
        <rFont val="宋体"/>
        <charset val="134"/>
      </rPr>
      <t>https://www.xiaohongshu.com/explore/6a22cc28000000002201868f?xsec_token=ABiU4YvLqBxjOphnMYQZOsp0AUY_g_EIpQdSglBTUAOaQ=&amp;xsec_source=pc_user</t>
    </r>
  </si>
  <si>
    <t>四个字的顾顾</t>
  </si>
  <si>
    <r>
      <rPr>
        <u/>
        <sz val="10"/>
        <color theme="10"/>
        <rFont val="宋体"/>
        <charset val="134"/>
      </rPr>
      <t>https://www.xiaohongshu.com/explore/6a33b332000000001c0266e3?xsec_token=ABGGGjVdLoyrmbGjxVg0LJC3hnnZ-hFxBSCkDxNMaFtMU=&amp;xsec_source=pc_user</t>
    </r>
  </si>
  <si>
    <t>投放日期</t>
  </si>
  <si>
    <t>账户名称</t>
  </si>
  <si>
    <t>结算客户名称</t>
  </si>
  <si>
    <t>操作类型</t>
  </si>
  <si>
    <t>业务类型</t>
  </si>
  <si>
    <t>资金类型</t>
  </si>
  <si>
    <t>发生金额(元)</t>
  </si>
  <si>
    <t>余额(元)</t>
  </si>
  <si>
    <t>操作时间</t>
  </si>
  <si>
    <t>备注</t>
  </si>
  <si>
    <t>总计</t>
  </si>
  <si>
    <t>奥普-曼拾</t>
  </si>
  <si>
    <t>上海曼拾文化传播有限公司</t>
  </si>
  <si>
    <t>消费扣款</t>
  </si>
  <si>
    <t>现金</t>
  </si>
  <si>
    <t>授信</t>
  </si>
  <si>
    <t>赔付返货</t>
  </si>
  <si>
    <t>常规返货</t>
  </si>
  <si>
    <t>奥普-CID2025-曼拾</t>
  </si>
  <si>
    <t>转账</t>
  </si>
  <si>
    <t>同一代理间返货转移</t>
  </si>
  <si>
    <t>计划id【201660551】计划名称【6月-美容舱-信息流点击深转互动-定制】的智能投放超成本赔付</t>
  </si>
  <si>
    <t>计划id【201649017】计划名称【6月-线性-信息流点击深转互动-直发】的智能投放超成本赔付</t>
  </si>
  <si>
    <t>计划id【201648991】计划名称【6月-线性-信息流点击深转互动-定制】的智能投放超成本赔付</t>
  </si>
  <si>
    <t>计划id【201637928】计划名称【6月-Smart-信息流点击深转互动-定制】的智能投放超成本赔付</t>
  </si>
  <si>
    <t>非同一代理间返货转移</t>
  </si>
  <si>
    <t>奥普25年年框返货转移，客户已授权操作</t>
  </si>
  <si>
    <t>计划id【195149430】计划名称【5月-信息流-点击深转站外-smart浴霸-大碗小米粥】的智能投放超成本赔付</t>
  </si>
  <si>
    <t>计划id【193325720】计划名称【5月-信息流-站外转化-热能环-颖寳儿～ 】的智能投放超成本赔付</t>
  </si>
  <si>
    <t>计划id【189716263】计划名称【4月-爆文-互动深转站外-热能环-小希有点甜】的智能投放超成本赔付</t>
  </si>
  <si>
    <t>计划id【189700379】计划名称【4月-直发-互动深转站外-热能环-青青儿】的智能投放超成本赔付</t>
  </si>
  <si>
    <t>计划id【189695084】计划名称【4月-直发-互动深转站外-热能环-书签】的智能投放超成本赔付</t>
  </si>
  <si>
    <t>计划id【189694957】计划名称【4月-直发-互动深转站外-音乐-昭昭的理想家】的智能投放超成本赔付</t>
  </si>
  <si>
    <t>计划id【189452269】计划名称【4月-热能环-信息流点击-过期笔记-宅家小古】的智能投放超成本赔付</t>
  </si>
  <si>
    <t>计划id【189441719】计划名称【4月-热能环-信息流点击-过期笔记-莎莎Aissa】的智能投放超成本赔付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</si>
</sst>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\¥#,##0.00"/>
    <numFmt numFmtId="178" formatCode="\¥#,##0"/>
    <numFmt numFmtId="179" formatCode="&quot;￥&quot;#,##0.00_);[Red]\(&quot;￥&quot;#,##0.00\)"/>
  </numFmts>
  <fonts count="35">
    <font>
      <sz val="10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u/>
      <sz val="10"/>
      <color theme="1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177" fontId="6" fillId="0" borderId="6" xfId="0" applyNumberFormat="1" applyFont="1" applyBorder="1" applyAlignment="1">
      <alignment vertical="center"/>
    </xf>
    <xf numFmtId="176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yo@meansplus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xhslink.com/o/63INe8Yg4by" TargetMode="External"/><Relationship Id="rId8" Type="http://schemas.openxmlformats.org/officeDocument/2006/relationships/hyperlink" Target="http://xhslink.com/o/53qQb9Xz6tt" TargetMode="External"/><Relationship Id="rId7" Type="http://schemas.openxmlformats.org/officeDocument/2006/relationships/hyperlink" Target="http://xhslink.com/o/6Wip6nybdVP" TargetMode="External"/><Relationship Id="rId6" Type="http://schemas.openxmlformats.org/officeDocument/2006/relationships/hyperlink" Target="http://xhslink.com/o/6SvrWCLAxcH" TargetMode="External"/><Relationship Id="rId5" Type="http://schemas.openxmlformats.org/officeDocument/2006/relationships/hyperlink" Target="https://www.xiaohongshu.com/explore/6a0c3758000000000803f79c?app_platform=ios&amp;app_version=9.30.1&amp;share_from_user_hidden=true&amp;xsec_source=app_share&amp;type=video&amp;xsec_token=CBMrMgJWf9xAviynl4Ti4Q7MsuZDWzJoU6Xew1gsFrAJ8=&amp;author_share=1&amp;xhsshare=WeixinSession&amp;shareRedId=ODhFRkc3NEo2NzUyOTgwNjZIOTdHNkdA&amp;apptime=1779241358&amp;share_id=4aa3e2f4335644398fe60ff842d6414e&amp;wechatWid=ee6c63b42987b57007ad227237bfa2ff&amp;wechatOrigin=menu" TargetMode="External"/><Relationship Id="rId4" Type="http://schemas.openxmlformats.org/officeDocument/2006/relationships/hyperlink" Target="http://xhslink.com/o/1zbYIOItdf0" TargetMode="External"/><Relationship Id="rId3" Type="http://schemas.openxmlformats.org/officeDocument/2006/relationships/hyperlink" Target="https://www.xiaohongshu.com/discovery/item/6a07049f0000000035021bc1?source=webshare&amp;xhsshare=pc_web&amp;xsec_token=ABCKxQKzL4CrD6snRkvTeoxksKCf35QtFiFxknJSqS0IY=&amp;xsec_source=pc_share" TargetMode="External"/><Relationship Id="rId2" Type="http://schemas.openxmlformats.org/officeDocument/2006/relationships/hyperlink" Target="https://www.xiaohongshu.com/discovery/item/6a04427e0000000006030049?app_platform=android&amp;ignoreEngage=true&amp;app_version=9.29.0&amp;share_from_user_hidden=true&amp;xsec_source=app_share&amp;type=normal&amp;xsec_token=CBhlXcNf9OWXVsdKBOMgDrSUuTXLMVRGK3pVTQ1akj7zI=&amp;author_share=1&amp;xhsshare=&amp;shareRedId=N0xHNzhHODo2NzUyOTgwNjY0OThKNj5B&amp;apptime=1778721692&amp;share_id=50b5c4d4cfb94c14b3b9f89d1a604e63&amp;share_channel=copy_link" TargetMode="External"/><Relationship Id="rId15" Type="http://schemas.openxmlformats.org/officeDocument/2006/relationships/hyperlink" Target="https://www.xiaohongshu.com/explore/6a22daa2000000002201bb35?app_platform=android&amp;ignoreEngage=true&amp;app_version=9.33.3&amp;share_from_user_hidden=true&amp;xsec_source=app_share&amp;type=video&amp;xsec_token=CBepgjqMfuRaLE10XwKdcj9LgbJBxGWS9x0NToBuBAplQ=&amp;author_share=1&amp;xhsshare=&amp;shareRedId=N0xHNDU9Sk02NzUyOTgwNjY0OTdFODdM&amp;apptime=1780669741&amp;share_id=92407b79df654313a0244fb46b54cab8&amp;share_channel=wechat&amp;wechatWid=ee6c63b42987b57007ad227237bfa2ff&amp;wechatOrigin=menu" TargetMode="External"/><Relationship Id="rId14" Type="http://schemas.openxmlformats.org/officeDocument/2006/relationships/hyperlink" Target="https://www.xiaohongshu.com/explore/6a0c364d0000000007010e7d?app_platform=ios&amp;app_version=9.30.1&amp;share_from_user_hidden=true&amp;xsec_source=app_share&amp;type=video&amp;xsec_token=CB_SelW4tsePAvc1A5Sbjpo0cWr-gHizzCUzkHv5-gv3A=&amp;author_share=1&amp;xhsshare=WeixinSession&amp;shareRedId=N0pFMkg6RU02NzUyOTgwNjY0OTdFRzxO&amp;apptime=1779186399&amp;share_id=4474b8334e3c4acc92af234ef56889a4&amp;wechatWid=ee6c63b42987b57007ad227237bfa2ff&amp;wechatOrigin=menu" TargetMode="External"/><Relationship Id="rId13" Type="http://schemas.openxmlformats.org/officeDocument/2006/relationships/hyperlink" Target="https://www.xiaohongshu.com/explore/6a020ec9000000003601bda9?app_platform=android&amp;ignoreEngage=true&amp;app_version=9.29.0&amp;share_from_user_hidden=true&amp;xsec_source=app_share&amp;type=video&amp;xsec_token=CBrIzMYMKOJ2wj24Ufbha0Cg7HXyfWZgYOS5BaMy3XRrA=&amp;author_share=1&amp;xhsshare=&amp;shareRedId=ODhEMDVKRz82NzUyOTgwNjdFOTk4OkpK&amp;apptime=1778586527&amp;share_id=c23bfadbd9924649a3c2bfd6e11d3083&amp;share_channel=wechat&amp;wechatWid=ee6c63b42987b57007ad227237bfa2ff&amp;wechatOrigin=menu" TargetMode="External"/><Relationship Id="rId12" Type="http://schemas.openxmlformats.org/officeDocument/2006/relationships/hyperlink" Target="https://www.xiaohongshu.com/explore/69fdbd5b0000000023007f4f?app_platform=android&amp;ignoreEngage=true&amp;app_version=9.29.0&amp;share_from_user_hidden=true&amp;xsec_source=app_share&amp;type=normal&amp;xsec_token=CBX77ABygYXv1nCk-FZgKklWsd8Pwun50PnQf5pOzXCM8=&amp;author_share=1&amp;shareRedId=OD47N0g5R082NzUyOTgwNjg7OTg6PUlC&amp;apptime=1778574827&amp;share_id=45e78a5a149c44dd992ee4f60c087fb4&amp;share_channel=copy_link&amp;appuid=6897e4cf00000000280168c9&amp;xhsshare=CopyLink&amp;wechatWid=ee6c63b42987b57007ad227237bfa2ff&amp;wechatOrigin=menu" TargetMode="External"/><Relationship Id="rId11" Type="http://schemas.openxmlformats.org/officeDocument/2006/relationships/hyperlink" Target="http://xhslink.com/o/2iZn5U7flZz" TargetMode="External"/><Relationship Id="rId10" Type="http://schemas.openxmlformats.org/officeDocument/2006/relationships/hyperlink" Target="https://www.xiaohongshu.com/explore/69fed74f0000000022024740?app_platform=ios&amp;app_version=9.19.3&amp;share_from_user_hidden=true&amp;xsec_source=app_share&amp;type=normal&amp;xsec_token=CBAsIMWDNLAL-1fIIqM-tf7IW4uHxRGeu4x1rIaCTsFh0=&amp;author_share=1&amp;xhsshare=WeixinSession&amp;shareRedId=N0c5MDlGR0s6TEZFSko2R0c8OTlJRjhP&amp;apptime=1778336600&amp;share_id=37720be544e94ce4a6318e074f6bb507&amp;wechatWid=ee6c63b42987b57007ad227237bfa2ff&amp;wechatOrigin=menu" TargetMode="External"/><Relationship Id="rId1" Type="http://schemas.openxmlformats.org/officeDocument/2006/relationships/hyperlink" Target="https://www.xiaohongshu.com/user/profile/5bf0fefa870bdf0001003cc0/6a1027cd000000003701d429?xsec_token=ABAGKSTztk2Lr5IL79S9cdoAFyLxHhEzJHFAeiET6gGN4=&amp;xsec_source=pc_use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xiaohongshu.com/user/profile/650da7290000000012007773/6a1673e6000000003601c3f6?xsec_token=AB4Lkb-Y65LmgP_Iv9truNruFM-hgoMb-6UyOmnKrF7wE=&amp;xsec_source=pc_user" TargetMode="External"/><Relationship Id="rId1" Type="http://schemas.openxmlformats.org/officeDocument/2006/relationships/hyperlink" Target="http://xhslink.com/o/4r9gUyDTISo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://xhslink.com/o/5kke4chZWZc" TargetMode="External"/><Relationship Id="rId4" Type="http://schemas.openxmlformats.org/officeDocument/2006/relationships/hyperlink" Target="http://xhslink.com/o/1MVnzp1oNVG" TargetMode="External"/><Relationship Id="rId3" Type="http://schemas.openxmlformats.org/officeDocument/2006/relationships/hyperlink" Target="http://xhslink.com/o/77qAmvJSdgM" TargetMode="External"/><Relationship Id="rId2" Type="http://schemas.openxmlformats.org/officeDocument/2006/relationships/hyperlink" Target="http://xhslink.com/o/canWUZe2qj" TargetMode="External"/><Relationship Id="rId1" Type="http://schemas.openxmlformats.org/officeDocument/2006/relationships/hyperlink" Target="https://www.xiaohongshu.com/explore/6a02ec7f0000000008024a34?app_platform=ios&amp;app_version=9.29&amp;share_from_user_hidden=true&amp;xsec_source=app_share&amp;type=normal&amp;xsec_token=CBT759HhUmhBdaQ-otzhbKEtzVrgbqeoiPpa8dRE7jPaM=&amp;author_share=1&amp;xhsshare=CopyLink&amp;shareRedId=N0hGNTs4N0I5ODhEPz0wNjY0O0g0OjpN&amp;apptime=1778722683&amp;share_id=be3454676d304b85af78d60f5c67b688&amp;wechatWid=ee6c63b42987b57007ad227237bfa2ff&amp;wechatOrigin=men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xiaohongshu.com/explore/6a33b332000000001c0266e3?xsec_token=ABGGGjVdLoyrmbGjxVg0LJC3hnnZ-hFxBSCkDxNMaFtMU=&amp;xsec_source=pc_user" TargetMode="External"/><Relationship Id="rId1" Type="http://schemas.openxmlformats.org/officeDocument/2006/relationships/hyperlink" Target="https://www.xiaohongshu.com/explore/6a22cc28000000002201868f?xsec_token=ABiU4YvLqBxjOphnMYQZOsp0AUY_g_EIpQdSglBTUAOaQ=&amp;xsec_source=pc_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D8" sqref="D8:D9"/>
    </sheetView>
  </sheetViews>
  <sheetFormatPr defaultColWidth="14" defaultRowHeight="15.2"/>
  <cols>
    <col min="1" max="1" width="10" customWidth="1"/>
    <col min="2" max="3" width="36" customWidth="1"/>
    <col min="4" max="4" width="38" customWidth="1"/>
    <col min="5" max="20" width="14" customWidth="1"/>
  </cols>
  <sheetData>
    <row r="1" ht="20.4" spans="1:20">
      <c r="A1" s="27" t="s">
        <v>0</v>
      </c>
      <c r="B1" s="27"/>
      <c r="C1" s="27"/>
      <c r="D1" s="27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>
      <c r="A2" s="28" t="s">
        <v>1</v>
      </c>
      <c r="B2" s="28"/>
      <c r="C2" s="28"/>
      <c r="D2" s="28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17.6" spans="1:20">
      <c r="A3" s="29" t="s">
        <v>2</v>
      </c>
      <c r="B3" s="29" t="s">
        <v>3</v>
      </c>
      <c r="C3" s="29" t="s">
        <v>4</v>
      </c>
      <c r="D3" s="29" t="s">
        <v>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6.8" spans="1:20">
      <c r="A4" s="15">
        <v>1</v>
      </c>
      <c r="B4" s="15" t="s">
        <v>6</v>
      </c>
      <c r="C4" s="30" t="s">
        <v>7</v>
      </c>
      <c r="D4" s="31">
        <v>38036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20" customHeight="1" spans="1:20">
      <c r="A5" s="15">
        <v>2</v>
      </c>
      <c r="B5" s="15" t="s">
        <v>8</v>
      </c>
      <c r="C5" s="30" t="s">
        <v>9</v>
      </c>
      <c r="D5" s="31">
        <v>51948.6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20" customHeight="1" spans="1:20">
      <c r="A6" s="15">
        <v>3</v>
      </c>
      <c r="B6" s="15" t="s">
        <v>10</v>
      </c>
      <c r="C6" s="30" t="s">
        <v>11</v>
      </c>
      <c r="D6" s="31">
        <v>40143.2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6.8" spans="1:20">
      <c r="A7" s="15">
        <v>4</v>
      </c>
      <c r="B7" s="15" t="s">
        <v>12</v>
      </c>
      <c r="C7" s="32" t="s">
        <v>13</v>
      </c>
      <c r="D7" s="31">
        <v>157304.4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7.6" spans="1:20">
      <c r="A8" s="15">
        <v>3</v>
      </c>
      <c r="B8" s="33" t="s">
        <v>14</v>
      </c>
      <c r="C8" s="30" t="s">
        <v>15</v>
      </c>
      <c r="D8" s="31">
        <v>995315.7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7.6" spans="1:20">
      <c r="A9" s="15">
        <v>4</v>
      </c>
      <c r="B9" s="33" t="s">
        <v>16</v>
      </c>
      <c r="C9" s="30" t="s">
        <v>17</v>
      </c>
      <c r="D9" s="31">
        <v>52927.57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6.8" spans="1:20">
      <c r="A10" s="34" t="s">
        <v>18</v>
      </c>
      <c r="B10" s="34"/>
      <c r="C10" s="34"/>
      <c r="D10" s="31">
        <f>SUM(D4:D9)</f>
        <v>1335675.47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6.8" spans="1:20">
      <c r="A11" s="34" t="s">
        <v>19</v>
      </c>
      <c r="B11" s="34"/>
      <c r="C11" s="34"/>
      <c r="D11" s="31">
        <f>(D8+D9-D12)*7%</f>
        <v>73301.8972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6.8" spans="1:20">
      <c r="A12" s="34" t="s">
        <v>20</v>
      </c>
      <c r="B12" s="34"/>
      <c r="C12" s="34"/>
      <c r="D12" s="35">
        <v>1073.31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6.8" spans="1:20">
      <c r="A13" s="34" t="s">
        <v>21</v>
      </c>
      <c r="B13" s="34"/>
      <c r="C13" s="34"/>
      <c r="D13" s="31">
        <f>D10-D11-D12</f>
        <v>1261300.2628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6.8" spans="1:20">
      <c r="A14" s="13" t="s">
        <v>22</v>
      </c>
      <c r="B14" s="13"/>
      <c r="C14" s="13" t="s">
        <v>23</v>
      </c>
      <c r="D14" s="1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6.8" spans="1:20">
      <c r="A15" s="36" t="s">
        <v>24</v>
      </c>
      <c r="B15" s="36"/>
      <c r="C15" s="36" t="s">
        <v>25</v>
      </c>
      <c r="D15" s="3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6.8" spans="1:20">
      <c r="A16" s="13" t="s">
        <v>26</v>
      </c>
      <c r="B16" s="13"/>
      <c r="C16" s="13" t="s">
        <v>27</v>
      </c>
      <c r="D16" s="1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6.8" spans="1:20">
      <c r="A17" s="13" t="s">
        <v>28</v>
      </c>
      <c r="B17" s="13"/>
      <c r="C17" s="13" t="s">
        <v>29</v>
      </c>
      <c r="D17" s="1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6.8" spans="1:20">
      <c r="A18" s="36" t="s">
        <v>30</v>
      </c>
      <c r="B18" s="36"/>
      <c r="C18" s="36"/>
      <c r="D18" s="3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6.8" spans="1:20">
      <c r="A19" s="15" t="s">
        <v>31</v>
      </c>
      <c r="B19" s="15"/>
      <c r="C19" s="15" t="s">
        <v>31</v>
      </c>
      <c r="D19" s="1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</sheetData>
  <mergeCells count="17">
    <mergeCell ref="A1:D1"/>
    <mergeCell ref="A2:D2"/>
    <mergeCell ref="A10:C10"/>
    <mergeCell ref="A11:C11"/>
    <mergeCell ref="A12:C12"/>
    <mergeCell ref="A13:C13"/>
    <mergeCell ref="A14:B14"/>
    <mergeCell ref="C14:D14"/>
    <mergeCell ref="A15:B15"/>
    <mergeCell ref="C15:D15"/>
    <mergeCell ref="A16:B16"/>
    <mergeCell ref="C16:D16"/>
    <mergeCell ref="A17:B17"/>
    <mergeCell ref="C17:D17"/>
    <mergeCell ref="A18:D18"/>
    <mergeCell ref="A19:B19"/>
    <mergeCell ref="C19:D19"/>
  </mergeCells>
  <hyperlinks>
    <hyperlink ref="C4" location="'618报备博主代下单-美容舱浴霸'!A1" display="618报备博主代下单-美容舱浴霸"/>
    <hyperlink ref="C5" location="'618报备博主下单-美容舱浴霸'!A1" display="618报备博主下单-美容舱浴霸"/>
    <hyperlink ref="C6" location="'618报备博主下单-音乐热能环浴霸'!A1" display="618报备博主下单-音乐热能环浴霸"/>
    <hyperlink ref="C7" location="'618报备博主下单-热能环浴霸'!A1" display="618报备博主下单-热能环浴霸"/>
    <hyperlink ref="C8" location="'效果广告投放'!A1" display="效果广告投放"/>
    <hyperlink ref="C9" location="'CID投放'!A1" display="CID投放"/>
    <hyperlink ref="C17" r:id="rId1" display="E-mail：yoyo@meansplus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12"/>
  <sheetViews>
    <sheetView workbookViewId="0">
      <selection activeCell="E2" sqref="E2:G16"/>
    </sheetView>
  </sheetViews>
  <sheetFormatPr defaultColWidth="14" defaultRowHeight="15.2"/>
  <cols>
    <col min="1" max="22" width="14" customWidth="1"/>
  </cols>
  <sheetData>
    <row r="1" ht="16.8" spans="1:22">
      <c r="A1" s="5" t="s">
        <v>2</v>
      </c>
      <c r="B1" s="5" t="s">
        <v>32</v>
      </c>
      <c r="C1" s="5" t="s">
        <v>33</v>
      </c>
      <c r="D1" s="5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7" t="s">
        <v>39</v>
      </c>
      <c r="J1" s="11" t="s">
        <v>40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17" spans="1:22">
      <c r="A2" s="6">
        <v>1</v>
      </c>
      <c r="B2" s="7" t="s">
        <v>41</v>
      </c>
      <c r="C2" s="8">
        <v>46150.1</v>
      </c>
      <c r="D2" s="7" t="s">
        <v>42</v>
      </c>
      <c r="E2" s="23">
        <v>5000</v>
      </c>
      <c r="F2" s="18">
        <f t="shared" ref="F2:F16" si="0">E2*0.1</f>
        <v>500</v>
      </c>
      <c r="G2" s="18">
        <f t="shared" ref="G2:G16" si="1">(E2+F2)*0.02</f>
        <v>110</v>
      </c>
      <c r="H2" s="18" t="s">
        <v>43</v>
      </c>
      <c r="I2" s="19" t="s">
        <v>44</v>
      </c>
      <c r="J2" s="21">
        <v>46151.1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20" customHeight="1" spans="1:22">
      <c r="A3" s="6">
        <v>2</v>
      </c>
      <c r="B3" s="9" t="s">
        <v>45</v>
      </c>
      <c r="C3" s="8">
        <v>46161.1</v>
      </c>
      <c r="D3" s="9" t="s">
        <v>42</v>
      </c>
      <c r="E3" s="24">
        <v>3000</v>
      </c>
      <c r="F3" s="18">
        <f t="shared" si="0"/>
        <v>300</v>
      </c>
      <c r="G3" s="18">
        <f t="shared" si="1"/>
        <v>66</v>
      </c>
      <c r="H3" s="18" t="s">
        <v>43</v>
      </c>
      <c r="I3" s="19" t="s">
        <v>46</v>
      </c>
      <c r="J3" s="21">
        <v>46163.1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20" customHeight="1" spans="1:22">
      <c r="A4" s="6">
        <v>3</v>
      </c>
      <c r="B4" s="9" t="s">
        <v>47</v>
      </c>
      <c r="C4" s="8">
        <v>46154.1</v>
      </c>
      <c r="D4" s="9" t="s">
        <v>42</v>
      </c>
      <c r="E4" s="24">
        <v>3000</v>
      </c>
      <c r="F4" s="18">
        <f t="shared" si="0"/>
        <v>300</v>
      </c>
      <c r="G4" s="18">
        <f t="shared" si="1"/>
        <v>66</v>
      </c>
      <c r="H4" s="18" t="s">
        <v>43</v>
      </c>
      <c r="I4" s="19" t="s">
        <v>48</v>
      </c>
      <c r="J4" s="21">
        <v>46156.1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ht="20" customHeight="1" spans="1:22">
      <c r="A5" s="6">
        <v>4</v>
      </c>
      <c r="B5" s="9" t="s">
        <v>49</v>
      </c>
      <c r="C5" s="8">
        <v>46150.1</v>
      </c>
      <c r="D5" s="9" t="s">
        <v>42</v>
      </c>
      <c r="E5" s="24">
        <v>3000</v>
      </c>
      <c r="F5" s="18">
        <f t="shared" si="0"/>
        <v>300</v>
      </c>
      <c r="G5" s="18">
        <f t="shared" si="1"/>
        <v>66</v>
      </c>
      <c r="H5" s="18" t="s">
        <v>43</v>
      </c>
      <c r="I5" s="19" t="s">
        <v>50</v>
      </c>
      <c r="J5" s="21">
        <v>46150.1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ht="20" customHeight="1" spans="1:22">
      <c r="A6" s="6">
        <v>5</v>
      </c>
      <c r="B6" s="9" t="s">
        <v>51</v>
      </c>
      <c r="C6" s="8">
        <v>46160.1</v>
      </c>
      <c r="D6" s="9" t="s">
        <v>52</v>
      </c>
      <c r="E6" s="24">
        <v>6000</v>
      </c>
      <c r="F6" s="18">
        <f t="shared" si="0"/>
        <v>600</v>
      </c>
      <c r="G6" s="18">
        <f t="shared" si="1"/>
        <v>132</v>
      </c>
      <c r="H6" s="18" t="s">
        <v>43</v>
      </c>
      <c r="I6" s="19" t="s">
        <v>53</v>
      </c>
      <c r="J6" s="21">
        <v>46171.1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ht="20" customHeight="1" spans="1:22">
      <c r="A7" s="6">
        <v>6</v>
      </c>
      <c r="B7" s="9" t="s">
        <v>54</v>
      </c>
      <c r="C7" s="8">
        <v>46154.1</v>
      </c>
      <c r="D7" s="9" t="s">
        <v>52</v>
      </c>
      <c r="E7" s="24">
        <v>4500</v>
      </c>
      <c r="F7" s="18">
        <f t="shared" si="0"/>
        <v>450</v>
      </c>
      <c r="G7" s="18">
        <f t="shared" si="1"/>
        <v>99</v>
      </c>
      <c r="H7" s="18" t="s">
        <v>43</v>
      </c>
      <c r="I7" s="19" t="s">
        <v>55</v>
      </c>
      <c r="J7" s="21">
        <v>46157.1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ht="20" customHeight="1" spans="1:22">
      <c r="A8" s="6">
        <v>7</v>
      </c>
      <c r="B8" s="9" t="s">
        <v>56</v>
      </c>
      <c r="C8" s="8">
        <v>46164.1</v>
      </c>
      <c r="D8" s="9" t="s">
        <v>52</v>
      </c>
      <c r="E8" s="24">
        <v>17800</v>
      </c>
      <c r="F8" s="18">
        <f t="shared" si="0"/>
        <v>1780</v>
      </c>
      <c r="G8" s="18">
        <f t="shared" si="1"/>
        <v>391.6</v>
      </c>
      <c r="H8" s="18"/>
      <c r="I8" s="19" t="s">
        <v>57</v>
      </c>
      <c r="J8" s="21">
        <v>46161.1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ht="20" customHeight="1" spans="1:22">
      <c r="A9" s="6">
        <v>8</v>
      </c>
      <c r="B9" s="9" t="s">
        <v>58</v>
      </c>
      <c r="C9" s="8">
        <v>46150.1</v>
      </c>
      <c r="D9" s="9" t="s">
        <v>52</v>
      </c>
      <c r="E9" s="24">
        <v>18000</v>
      </c>
      <c r="F9" s="18">
        <f t="shared" si="0"/>
        <v>1800</v>
      </c>
      <c r="G9" s="18">
        <f t="shared" si="1"/>
        <v>396</v>
      </c>
      <c r="H9" s="18" t="s">
        <v>43</v>
      </c>
      <c r="I9" s="19" t="s">
        <v>59</v>
      </c>
      <c r="J9" s="21">
        <v>46154.1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ht="20" customHeight="1" spans="1:22">
      <c r="A10" s="6">
        <v>9</v>
      </c>
      <c r="B10" s="9" t="s">
        <v>60</v>
      </c>
      <c r="C10" s="8">
        <v>46157.1</v>
      </c>
      <c r="D10" s="9" t="s">
        <v>52</v>
      </c>
      <c r="E10" s="24">
        <v>20000</v>
      </c>
      <c r="F10" s="18">
        <f t="shared" si="0"/>
        <v>2000</v>
      </c>
      <c r="G10" s="18">
        <f t="shared" si="1"/>
        <v>440</v>
      </c>
      <c r="H10" s="18" t="s">
        <v>43</v>
      </c>
      <c r="I10" s="19" t="s">
        <v>61</v>
      </c>
      <c r="J10" s="21">
        <v>46157.1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ht="20" customHeight="1" spans="1:22">
      <c r="A11" s="6">
        <v>10</v>
      </c>
      <c r="B11" s="9" t="s">
        <v>62</v>
      </c>
      <c r="C11" s="8">
        <v>46160.1</v>
      </c>
      <c r="D11" s="9" t="s">
        <v>63</v>
      </c>
      <c r="E11" s="24">
        <v>7500</v>
      </c>
      <c r="F11" s="18">
        <f t="shared" si="0"/>
        <v>750</v>
      </c>
      <c r="G11" s="18">
        <f t="shared" si="1"/>
        <v>165</v>
      </c>
      <c r="H11" s="18" t="s">
        <v>43</v>
      </c>
      <c r="I11" s="19" t="s">
        <v>64</v>
      </c>
      <c r="J11" s="21">
        <v>46161.1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20" customHeight="1" spans="1:22">
      <c r="A12" s="6">
        <v>11</v>
      </c>
      <c r="B12" s="9" t="s">
        <v>65</v>
      </c>
      <c r="C12" s="8">
        <v>46160.1</v>
      </c>
      <c r="D12" s="9" t="s">
        <v>63</v>
      </c>
      <c r="E12" s="24">
        <v>8000</v>
      </c>
      <c r="F12" s="18">
        <f t="shared" si="0"/>
        <v>800</v>
      </c>
      <c r="G12" s="18">
        <f t="shared" si="1"/>
        <v>176</v>
      </c>
      <c r="H12" s="18" t="s">
        <v>43</v>
      </c>
      <c r="I12" s="19" t="s">
        <v>66</v>
      </c>
      <c r="J12" s="21">
        <v>46162.1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ht="20" customHeight="1" spans="1:22">
      <c r="A13" s="6">
        <v>12</v>
      </c>
      <c r="B13" s="9" t="s">
        <v>67</v>
      </c>
      <c r="C13" s="8">
        <v>46160.1</v>
      </c>
      <c r="D13" s="9" t="s">
        <v>63</v>
      </c>
      <c r="E13" s="24">
        <v>7800</v>
      </c>
      <c r="F13" s="18">
        <f t="shared" si="0"/>
        <v>780</v>
      </c>
      <c r="G13" s="18">
        <f t="shared" si="1"/>
        <v>171.6</v>
      </c>
      <c r="H13" s="18" t="s">
        <v>43</v>
      </c>
      <c r="I13" s="19" t="s">
        <v>68</v>
      </c>
      <c r="J13" s="21">
        <v>46161.1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ht="20" customHeight="1" spans="1:22">
      <c r="A14" s="6">
        <v>13</v>
      </c>
      <c r="B14" s="9" t="s">
        <v>69</v>
      </c>
      <c r="C14" s="8">
        <v>46161.1</v>
      </c>
      <c r="D14" s="9" t="s">
        <v>52</v>
      </c>
      <c r="E14" s="24">
        <v>16800</v>
      </c>
      <c r="F14" s="18">
        <f t="shared" si="0"/>
        <v>1680</v>
      </c>
      <c r="G14" s="18">
        <f t="shared" si="1"/>
        <v>369.6</v>
      </c>
      <c r="H14" s="18" t="s">
        <v>43</v>
      </c>
      <c r="I14" s="19" t="s">
        <v>70</v>
      </c>
      <c r="J14" s="21">
        <v>46164.1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ht="20" customHeight="1" spans="1:22">
      <c r="A15" s="6">
        <v>14</v>
      </c>
      <c r="B15" s="9" t="s">
        <v>71</v>
      </c>
      <c r="C15" s="8">
        <v>46161.1</v>
      </c>
      <c r="D15" s="9" t="s">
        <v>52</v>
      </c>
      <c r="E15" s="24">
        <v>6800</v>
      </c>
      <c r="F15" s="18">
        <f t="shared" si="0"/>
        <v>680</v>
      </c>
      <c r="G15" s="18">
        <f t="shared" si="1"/>
        <v>149.6</v>
      </c>
      <c r="H15" s="18" t="s">
        <v>43</v>
      </c>
      <c r="I15" s="19" t="s">
        <v>72</v>
      </c>
      <c r="J15" s="21">
        <v>46164.1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ht="17" spans="1:22">
      <c r="A16" s="6">
        <v>15</v>
      </c>
      <c r="B16" s="9" t="s">
        <v>73</v>
      </c>
      <c r="C16" s="25">
        <v>46178.5</v>
      </c>
      <c r="D16" s="9" t="s">
        <v>52</v>
      </c>
      <c r="E16" s="24">
        <v>13000</v>
      </c>
      <c r="F16" s="18">
        <f t="shared" si="0"/>
        <v>1300</v>
      </c>
      <c r="G16" s="18">
        <f t="shared" si="1"/>
        <v>286</v>
      </c>
      <c r="H16" s="18" t="s">
        <v>43</v>
      </c>
      <c r="I16" s="19" t="s">
        <v>74</v>
      </c>
      <c r="J16" s="26">
        <v>46178.5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ht="16.8" spans="1:22">
      <c r="A17" s="6" t="s">
        <v>75</v>
      </c>
      <c r="B17" s="6"/>
      <c r="C17" s="6"/>
      <c r="D17" s="6"/>
      <c r="E17" s="6"/>
      <c r="F17" s="6"/>
      <c r="G17" s="6"/>
      <c r="H17" s="20">
        <f>SUM(E2:H16)</f>
        <v>157304.4</v>
      </c>
      <c r="I17" s="13"/>
      <c r="J17" s="2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</sheetData>
  <mergeCells count="1">
    <mergeCell ref="A17:G17"/>
  </mergeCells>
  <hyperlinks>
    <hyperlink ref="I15" r:id="rId1" display="https://www.xiaohongshu.com/user/profile/5bf0fefa870bdf0001003cc0/6a1027cd000000003701d429?xsec_token=ABAGKSTztk2Lr5IL79S9cdoAFyLxHhEzJHFAeiET6gGN4=&amp;xsec_source=pc_user"/>
    <hyperlink ref="I4" r:id="rId2" display="https://www.xiaohongshu.com/discovery/item/6a04427e0000000006030049?app_platform=android&amp;ignoreEngage=true&amp;app_version=9.29.0&amp;share_from_user_hidden=true&amp;xsec_source=app_share&amp;type=normal&amp;xsec_token=CBhlXcNf9OWXVsdKBOMgDrSUuTXLMVRGK3pVTQ1akj7zI%3D&amp;author_share=1&amp;xhsshare=&amp;shareRedId=N0xHNzhHODo2NzUyOTgwNjY0OThKNj5B&amp;apptime=1778721692&amp;share_id=50b5c4d4cfb94c14b3b9f89d1a604e63&amp;share_channel=copy_link"/>
    <hyperlink ref="I7" r:id="rId3" display=" https://www.xiaohongshu.com/discovery/item/6a07049f0000000035021bc1?source=webshare&amp;xhsshare=pc_web&amp;xsec_token=ABCKxQKzL4CrD6snRkvTeoxksKCf35QtFiFxknJSqS0IY=&amp;xsec_source=pc_share"/>
    <hyperlink ref="I8" r:id="rId4" display="http://xhslink.com/o/1zbYIOItdf0 "/>
    <hyperlink ref="I11" r:id="rId5" display="https://www.xiaohongshu.com/explore/6a0c3758000000000803f79c?app_platform=ios&amp;app_version=9.30.1&amp;share_from_user_hidden=true&amp;xsec_source=app_share&amp;type=video&amp;xsec_token=CBMrMgJWf9xAviynl4Ti4Q7MsuZDWzJoU6Xew1gsFrAJ8=&amp;author_share=1&amp;xhsshare=WeixinSession&amp;shareRedId=ODhFRkc3NEo2NzUyOTgwNjZIOTdHNkdA&amp;apptime=1779241358&amp;share_id=4aa3e2f4335644398fe60ff842d6414e&amp;wechatWid=ee6c63b42987b57007ad227237bfa2ff&amp;wechatOrigin=menu"/>
    <hyperlink ref="I3" r:id="rId6" display=" http://xhslink.com/o/6SvrWCLAxcH "/>
    <hyperlink ref="I6" r:id="rId7" display="http://xhslink.com/o/6Wip6nybdVP "/>
    <hyperlink ref="I10" r:id="rId8" display=" http://xhslink.com/o/53qQb9Xz6tt "/>
    <hyperlink ref="I14" r:id="rId9" display="http://xhslink.com/o/63INe8Yg4by "/>
    <hyperlink ref="I2" r:id="rId10" display="https://www.xiaohongshu.com/explore/69fed74f0000000022024740?app_platform=ios&amp;app_version=9.19.3&amp;share_from_user_hidden=true&amp;xsec_source=app_share&amp;type=normal&amp;xsec_token=CBAsIMWDNLAL-1fIIqM-tf7IW4uHxRGeu4x1rIaCTsFh0=&amp;author_share=1&amp;xhsshare=WeixinSession&amp;shareRedId=N0c5MDlGR0s6TEZFSko2R0c8OTlJRjhP&amp;apptime=1778336600&amp;share_id=37720be544e94ce4a6318e074f6bb507&amp;wechatWid=ee6c63b42987b57007ad227237bfa2ff&amp;wechatOrigin=menu"/>
    <hyperlink ref="I13" r:id="rId11" display=" http://xhslink.com/o/2iZn5U7flZz "/>
    <hyperlink ref="I5" r:id="rId12" display="https://www.xiaohongshu.com/explore/69fdbd5b0000000023007f4f?app_platform=android&amp;ignoreEngage=true&amp;app_version=9.29.0&amp;share_from_user_hidden=true&amp;xsec_source=app_share&amp;type=normal&amp;xsec_token=CBX77ABygYXv1nCk-FZgKklWsd8Pwun50PnQf5pOzXCM8=&amp;author_share=1&amp;shareRedId=OD47N0g5R082NzUyOTgwNjg7OTg6PUlC&amp;apptime=1778574827&amp;share_id=45e78a5a149c44dd992ee4f60c087fb4&amp;share_channel=copy_link&amp;appuid=6897e4cf00000000280168c9&amp;xhsshare=CopyLink&amp;wechatWid=ee6c63b42987b57007ad227237bfa2ff&amp;wechatOrigin=menu"/>
    <hyperlink ref="I9" r:id="rId13" display="https://www.xiaohongshu.com/explore/6a020ec9000000003601bda9?app_platform=android&amp;ignoreEngage=true&amp;app_version=9.29.0&amp;share_from_user_hidden=true&amp;xsec_source=app_share&amp;type=video&amp;xsec_token=CBrIzMYMKOJ2wj24Ufbha0Cg7HXyfWZgYOS5BaMy3XRrA=&amp;author_share=1&amp;xhsshare=&amp;shareRedId=ODhEMDVKRz82NzUyOTgwNjdFOTk4OkpK&amp;apptime=1778586527&amp;share_id=c23bfadbd9924649a3c2bfd6e11d3083&amp;share_channel=wechat&amp;wechatWid=ee6c63b42987b57007ad227237bfa2ff&amp;wechatOrigin=menu"/>
    <hyperlink ref="I12" r:id="rId14" display="https://www.xiaohongshu.com/explore/6a0c364d0000000007010e7d?app_platform=ios&amp;app_version=9.30.1&amp;share_from_user_hidden=true&amp;xsec_source=app_share&amp;type=video&amp;xsec_token=CB_SelW4tsePAvc1A5Sbjpo0cWr-gHizzCUzkHv5-gv3A=&amp;author_share=1&amp;xhsshare=WeixinSession&amp;shareRedId=N0pFMkg6RU02NzUyOTgwNjY0OTdFRzxO&amp;apptime=1779186399&amp;share_id=4474b8334e3c4acc92af234ef56889a4&amp;wechatWid=ee6c63b42987b57007ad227237bfa2ff&amp;wechatOrigin=menu"/>
    <hyperlink ref="I16" r:id="rId15" display="https://www.xiaohongshu.com/explore/6a22daa2000000002201bb35?app_platform=android&amp;ignoreEngage=true&amp;app_version=9.33.3&amp;share_from_user_hidden=true&amp;xsec_source=app_share&amp;type=video&amp;xsec_token=CBepgjqMfuRaLE10XwKdcj9LgbJBxGWS9x0NToBuBAplQ=&amp;author_share=1&amp;xhsshare=&amp;shareRedId=N0xHNDU9Sk02NzUyOTgwNjY0OTdFODdM&amp;apptime=1780669741&amp;share_id=92407b79df654313a0244fb46b54cab8&amp;share_channel=wechat&amp;wechatWid=ee6c63b42987b57007ad227237bfa2ff&amp;wechatOrigin=menu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99"/>
  <sheetViews>
    <sheetView workbookViewId="0">
      <selection activeCell="H5" sqref="H5"/>
    </sheetView>
  </sheetViews>
  <sheetFormatPr defaultColWidth="14" defaultRowHeight="15.2"/>
  <cols>
    <col min="1" max="22" width="14" customWidth="1"/>
  </cols>
  <sheetData>
    <row r="1" ht="16.8" spans="1:22">
      <c r="A1" s="5" t="s">
        <v>2</v>
      </c>
      <c r="B1" s="5" t="s">
        <v>32</v>
      </c>
      <c r="C1" s="5" t="s">
        <v>33</v>
      </c>
      <c r="D1" s="5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7" t="s">
        <v>39</v>
      </c>
      <c r="J1" s="11" t="s">
        <v>40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17" spans="1:22">
      <c r="A2" s="6">
        <v>1</v>
      </c>
      <c r="B2" s="7" t="s">
        <v>76</v>
      </c>
      <c r="C2" s="8">
        <v>46142.1</v>
      </c>
      <c r="D2" s="7" t="s">
        <v>77</v>
      </c>
      <c r="E2" s="23">
        <v>13800</v>
      </c>
      <c r="F2" s="18">
        <f t="shared" ref="F2:F3" si="0">E2*0.1</f>
        <v>1380</v>
      </c>
      <c r="G2" s="18">
        <f t="shared" ref="G2:G3" si="1">(E2+F2)*0.02</f>
        <v>303.6</v>
      </c>
      <c r="H2" s="18">
        <v>200</v>
      </c>
      <c r="I2" s="13" t="s">
        <v>78</v>
      </c>
      <c r="J2" s="21">
        <v>46169.1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17" spans="1:22">
      <c r="A3" s="6">
        <v>2</v>
      </c>
      <c r="B3" s="9" t="s">
        <v>79</v>
      </c>
      <c r="C3" s="8">
        <v>46169.1</v>
      </c>
      <c r="D3" s="9" t="s">
        <v>77</v>
      </c>
      <c r="E3" s="24">
        <v>21800</v>
      </c>
      <c r="F3" s="18">
        <f t="shared" si="0"/>
        <v>2180</v>
      </c>
      <c r="G3" s="18">
        <f t="shared" si="1"/>
        <v>479.6</v>
      </c>
      <c r="H3" s="18" t="s">
        <v>43</v>
      </c>
      <c r="I3" s="19" t="s">
        <v>80</v>
      </c>
      <c r="J3" s="21">
        <v>46181.1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16.8" spans="1:22">
      <c r="A4" s="6" t="s">
        <v>75</v>
      </c>
      <c r="B4" s="6"/>
      <c r="C4" s="6"/>
      <c r="D4" s="6"/>
      <c r="E4" s="6"/>
      <c r="F4" s="6"/>
      <c r="G4" s="6"/>
      <c r="H4" s="20">
        <f>SUM(E2:H3)</f>
        <v>40143.2</v>
      </c>
      <c r="I4" s="13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</sheetData>
  <mergeCells count="1">
    <mergeCell ref="A4:G4"/>
  </mergeCells>
  <hyperlinks>
    <hyperlink ref="I3" r:id="rId1" display="http://xhslink.com/o/4r9gUyDTISo "/>
    <hyperlink ref="I2" r:id="rId2" display="https://www.xiaohongshu.com/user/profile/650da7290000000012007773/6a1673e6000000003601c3f6?xsec_token=AB4Lkb-Y65LmgP_Iv9truNruFM-hgoMb-6UyOmnKrF7wE=&amp;xsec_source=pc_user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2"/>
  <sheetViews>
    <sheetView workbookViewId="0">
      <selection activeCell="A1" sqref="A1"/>
    </sheetView>
  </sheetViews>
  <sheetFormatPr defaultColWidth="14" defaultRowHeight="15.2"/>
  <cols>
    <col min="1" max="21" width="14" customWidth="1"/>
  </cols>
  <sheetData>
    <row r="1" ht="16.8" spans="1:21">
      <c r="A1" s="5" t="s">
        <v>2</v>
      </c>
      <c r="B1" s="5" t="s">
        <v>32</v>
      </c>
      <c r="C1" s="5" t="s">
        <v>33</v>
      </c>
      <c r="D1" s="5" t="s">
        <v>34</v>
      </c>
      <c r="E1" s="11" t="s">
        <v>35</v>
      </c>
      <c r="F1" s="11" t="s">
        <v>36</v>
      </c>
      <c r="G1" s="11" t="s">
        <v>37</v>
      </c>
      <c r="H1" s="17" t="s">
        <v>39</v>
      </c>
      <c r="I1" s="11" t="s">
        <v>40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17" spans="1:21">
      <c r="A2" s="6">
        <v>1</v>
      </c>
      <c r="B2" s="7" t="s">
        <v>81</v>
      </c>
      <c r="C2" s="8">
        <v>46142.1</v>
      </c>
      <c r="D2" s="7" t="s">
        <v>82</v>
      </c>
      <c r="E2" s="12">
        <v>4800</v>
      </c>
      <c r="F2" s="18">
        <f t="shared" ref="F2:F6" si="0">E2*0.1</f>
        <v>480</v>
      </c>
      <c r="G2" s="18">
        <f t="shared" ref="G2:G6" si="1">(E2+F2)*0.02</f>
        <v>105.6</v>
      </c>
      <c r="H2" s="19" t="s">
        <v>83</v>
      </c>
      <c r="I2" s="21">
        <v>46150.1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ht="17" spans="1:21">
      <c r="A3" s="6">
        <v>2</v>
      </c>
      <c r="B3" s="9" t="s">
        <v>84</v>
      </c>
      <c r="C3" s="8">
        <v>46153.1</v>
      </c>
      <c r="D3" s="9" t="s">
        <v>82</v>
      </c>
      <c r="E3" s="14">
        <v>5000</v>
      </c>
      <c r="F3" s="18">
        <f t="shared" si="0"/>
        <v>500</v>
      </c>
      <c r="G3" s="18">
        <f t="shared" si="1"/>
        <v>110</v>
      </c>
      <c r="H3" s="19" t="s">
        <v>85</v>
      </c>
      <c r="I3" s="21">
        <v>46155.1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20" customHeight="1" spans="1:21">
      <c r="A4" s="6">
        <v>3</v>
      </c>
      <c r="B4" s="9" t="s">
        <v>86</v>
      </c>
      <c r="C4" s="8">
        <v>46174.1</v>
      </c>
      <c r="D4" s="9" t="s">
        <v>77</v>
      </c>
      <c r="E4" s="14">
        <v>19800</v>
      </c>
      <c r="F4" s="18">
        <f t="shared" si="0"/>
        <v>1980</v>
      </c>
      <c r="G4" s="18">
        <f t="shared" si="1"/>
        <v>435.6</v>
      </c>
      <c r="H4" s="19" t="s">
        <v>87</v>
      </c>
      <c r="I4" s="21">
        <v>46181.1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ht="20" customHeight="1" spans="1:21">
      <c r="A5" s="6">
        <v>4</v>
      </c>
      <c r="B5" s="9" t="s">
        <v>88</v>
      </c>
      <c r="C5" s="8">
        <v>46174.1</v>
      </c>
      <c r="D5" s="9" t="s">
        <v>77</v>
      </c>
      <c r="E5" s="14">
        <v>9800</v>
      </c>
      <c r="F5" s="18">
        <f t="shared" si="0"/>
        <v>980</v>
      </c>
      <c r="G5" s="18">
        <f t="shared" si="1"/>
        <v>215.6</v>
      </c>
      <c r="H5" s="19" t="s">
        <v>89</v>
      </c>
      <c r="I5" s="21">
        <v>46178.1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ht="20" customHeight="1" spans="1:21">
      <c r="A6" s="6">
        <v>5</v>
      </c>
      <c r="B6" s="9" t="s">
        <v>90</v>
      </c>
      <c r="C6" s="8">
        <v>46174.1</v>
      </c>
      <c r="D6" s="9" t="s">
        <v>77</v>
      </c>
      <c r="E6" s="14">
        <v>6900</v>
      </c>
      <c r="F6" s="18">
        <f t="shared" si="0"/>
        <v>690</v>
      </c>
      <c r="G6" s="18">
        <f t="shared" si="1"/>
        <v>151.8</v>
      </c>
      <c r="H6" s="19" t="s">
        <v>91</v>
      </c>
      <c r="I6" s="21">
        <v>46178.1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ht="16.8" spans="1:21">
      <c r="A7" s="6" t="s">
        <v>75</v>
      </c>
      <c r="B7" s="6"/>
      <c r="C7" s="6"/>
      <c r="D7" s="6"/>
      <c r="E7" s="6"/>
      <c r="F7" s="6"/>
      <c r="G7" s="20">
        <f>SUM(E2:G6)</f>
        <v>51948.6</v>
      </c>
      <c r="H7" s="13"/>
      <c r="I7" s="22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:2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:2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:2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:2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:2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:2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:2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:2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:2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:2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:2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:2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:2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:2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:2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:2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:2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:2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:2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:2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</sheetData>
  <mergeCells count="1">
    <mergeCell ref="A7:F7"/>
  </mergeCells>
  <hyperlinks>
    <hyperlink ref="H3" r:id="rId1" display="https://www.xiaohongshu.com/explore/6a02ec7f0000000008024a34?app_platform=ios&amp;app_version=9.29&amp;share_from_user_hidden=true&amp;xsec_source=app_share&amp;type=normal&amp;xsec_token=CBT759HhUmhBdaQ-otzhbKEtzVrgbqeoiPpa8dRE7jPaM=&amp;author_share=1&amp;xhsshare=CopyLink&amp;shareRedId=N0hGNTs4N0I5ODhEPz0wNjY0O0g0OjpN&amp;apptime=1778722683&amp;share_id=be3454676d304b85af78d60f5c67b688&amp;wechatWid=ee6c63b42987b57007ad227237bfa2ff&amp;wechatOrigin=menu"/>
    <hyperlink ref="H4" r:id="rId2" display=" http://xhslink.com/o/canWUZe2qj "/>
    <hyperlink ref="H5" r:id="rId3" display="http://xhslink.com/o/77qAmvJSdgM "/>
    <hyperlink ref="H6" r:id="rId4" display="http://xhslink.com/o/1MVnzp1oNVG "/>
    <hyperlink ref="H2" r:id="rId5" display=" http://xhslink.com/o/5kke4chZWZc 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1"/>
  <sheetViews>
    <sheetView workbookViewId="0">
      <selection activeCell="A1" sqref="A1"/>
    </sheetView>
  </sheetViews>
  <sheetFormatPr defaultColWidth="14" defaultRowHeight="15.2"/>
  <cols>
    <col min="1" max="21" width="14" customWidth="1"/>
  </cols>
  <sheetData>
    <row r="1" ht="16.8" spans="1:21">
      <c r="A1" s="5" t="s">
        <v>2</v>
      </c>
      <c r="B1" s="5" t="s">
        <v>32</v>
      </c>
      <c r="C1" s="5" t="s">
        <v>33</v>
      </c>
      <c r="D1" s="5" t="s">
        <v>34</v>
      </c>
      <c r="E1" s="11" t="s">
        <v>35</v>
      </c>
      <c r="F1" s="11" t="s">
        <v>36</v>
      </c>
      <c r="G1" s="11" t="s">
        <v>37</v>
      </c>
      <c r="H1" s="11" t="s">
        <v>39</v>
      </c>
      <c r="I1" s="11" t="s">
        <v>40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17" spans="1:21">
      <c r="A2" s="6">
        <v>1</v>
      </c>
      <c r="B2" s="7" t="s">
        <v>92</v>
      </c>
      <c r="C2" s="8">
        <v>46174.1</v>
      </c>
      <c r="D2" s="7" t="s">
        <v>77</v>
      </c>
      <c r="E2" s="12">
        <v>20400</v>
      </c>
      <c r="F2" s="12">
        <f t="shared" ref="F2:F3" si="0">E2*0.1</f>
        <v>2040</v>
      </c>
      <c r="G2" s="12">
        <f t="shared" ref="G2:G3" si="1">(E2+F2)*0.02</f>
        <v>448.8</v>
      </c>
      <c r="H2" s="13" t="s">
        <v>93</v>
      </c>
      <c r="I2" s="8">
        <v>46183.1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ht="17" spans="1:21">
      <c r="A3" s="6">
        <v>2</v>
      </c>
      <c r="B3" s="9" t="s">
        <v>94</v>
      </c>
      <c r="C3" s="8">
        <v>46174.1</v>
      </c>
      <c r="D3" s="9" t="s">
        <v>77</v>
      </c>
      <c r="E3" s="14">
        <v>13500</v>
      </c>
      <c r="F3" s="12">
        <f t="shared" si="0"/>
        <v>1350</v>
      </c>
      <c r="G3" s="12">
        <f t="shared" si="1"/>
        <v>297</v>
      </c>
      <c r="H3" s="15" t="s">
        <v>95</v>
      </c>
      <c r="I3" s="8">
        <v>46193.1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6.8" spans="1:21">
      <c r="A4" s="6" t="s">
        <v>75</v>
      </c>
      <c r="B4" s="6"/>
      <c r="C4" s="6"/>
      <c r="D4" s="6"/>
      <c r="E4" s="6"/>
      <c r="F4" s="6"/>
      <c r="G4" s="16">
        <f>SUM(E2:G3)</f>
        <v>38035.8</v>
      </c>
      <c r="H4" s="15"/>
      <c r="I4" s="1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:2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:2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:2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:2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:2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:2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:2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:2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:2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:2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:2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:2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:2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:2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:2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:2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:2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:2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:2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</sheetData>
  <mergeCells count="1">
    <mergeCell ref="A4:F4"/>
  </mergeCells>
  <hyperlinks>
    <hyperlink ref="H2" r:id="rId1" display="https://www.xiaohongshu.com/explore/6a22cc28000000002201868f?xsec_token=ABiU4YvLqBxjOphnMYQZOsp0AUY_g_EIpQdSglBTUAOaQ=&amp;xsec_source=pc_user"/>
    <hyperlink ref="H3" r:id="rId2" display="https://www.xiaohongshu.com/explore/6a33b332000000001c0266e3?xsec_token=ABGGGjVdLoyrmbGjxVg0LJC3hnnZ-hFxBSCkDxNMaFtMU=&amp;xsec_source=pc_user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2"/>
  <sheetViews>
    <sheetView workbookViewId="0">
      <selection activeCell="A1" sqref="A1"/>
    </sheetView>
  </sheetViews>
  <sheetFormatPr defaultColWidth="14" defaultRowHeight="15.2"/>
  <sheetData>
    <row r="1" ht="16.8" spans="1:10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 ht="16.8" spans="1:10">
      <c r="A2" s="3" t="s">
        <v>106</v>
      </c>
      <c r="B2" s="2"/>
      <c r="C2" s="2"/>
      <c r="D2" s="2" t="s">
        <v>43</v>
      </c>
      <c r="E2" s="2" t="s">
        <v>43</v>
      </c>
      <c r="F2" s="2" t="s">
        <v>43</v>
      </c>
      <c r="G2" s="2">
        <v>-995315.7</v>
      </c>
      <c r="H2" s="2" t="s">
        <v>43</v>
      </c>
      <c r="I2" s="4" t="s">
        <v>43</v>
      </c>
      <c r="J2" s="2" t="s">
        <v>43</v>
      </c>
    </row>
    <row r="3" ht="16.8" spans="1:10">
      <c r="A3" s="3">
        <v>46204</v>
      </c>
      <c r="B3" s="2" t="s">
        <v>107</v>
      </c>
      <c r="C3" s="2" t="s">
        <v>108</v>
      </c>
      <c r="D3" s="2" t="s">
        <v>109</v>
      </c>
      <c r="E3" s="2" t="s">
        <v>109</v>
      </c>
      <c r="F3" s="2" t="s">
        <v>110</v>
      </c>
      <c r="G3" s="2">
        <v>-545.6</v>
      </c>
      <c r="H3" s="2">
        <v>0</v>
      </c>
      <c r="I3" s="4">
        <v>46205.1273148148</v>
      </c>
      <c r="J3" s="2" t="s">
        <v>43</v>
      </c>
    </row>
    <row r="4" ht="16.8" spans="1:10">
      <c r="A4" s="3">
        <v>46203</v>
      </c>
      <c r="B4" s="2" t="s">
        <v>107</v>
      </c>
      <c r="C4" s="2" t="s">
        <v>108</v>
      </c>
      <c r="D4" s="2" t="s">
        <v>109</v>
      </c>
      <c r="E4" s="2" t="s">
        <v>109</v>
      </c>
      <c r="F4" s="2" t="s">
        <v>111</v>
      </c>
      <c r="G4" s="2">
        <v>-4387.7</v>
      </c>
      <c r="H4" s="2">
        <v>0</v>
      </c>
      <c r="I4" s="4">
        <v>46204.1308217593</v>
      </c>
      <c r="J4" s="2" t="s">
        <v>43</v>
      </c>
    </row>
    <row r="5" ht="16.8" spans="1:10">
      <c r="A5" s="3">
        <v>46203</v>
      </c>
      <c r="B5" s="2" t="s">
        <v>107</v>
      </c>
      <c r="C5" s="2" t="s">
        <v>108</v>
      </c>
      <c r="D5" s="2" t="s">
        <v>109</v>
      </c>
      <c r="E5" s="2" t="s">
        <v>109</v>
      </c>
      <c r="F5" s="2" t="s">
        <v>110</v>
      </c>
      <c r="G5" s="2">
        <v>-241.31</v>
      </c>
      <c r="H5" s="2">
        <v>545.6</v>
      </c>
      <c r="I5" s="4">
        <v>46204.1308217593</v>
      </c>
      <c r="J5" s="2" t="s">
        <v>43</v>
      </c>
    </row>
    <row r="6" ht="16.8" spans="1:10">
      <c r="A6" s="3">
        <v>46202</v>
      </c>
      <c r="B6" s="2" t="s">
        <v>107</v>
      </c>
      <c r="C6" s="2" t="s">
        <v>108</v>
      </c>
      <c r="D6" s="2" t="s">
        <v>109</v>
      </c>
      <c r="E6" s="2" t="s">
        <v>109</v>
      </c>
      <c r="F6" s="2" t="s">
        <v>111</v>
      </c>
      <c r="G6" s="2">
        <v>-8024.82</v>
      </c>
      <c r="H6" s="2">
        <v>4387.7</v>
      </c>
      <c r="I6" s="4">
        <v>46203.1274074074</v>
      </c>
      <c r="J6" s="2" t="s">
        <v>43</v>
      </c>
    </row>
    <row r="7" ht="16.8" spans="1:10">
      <c r="A7" s="3">
        <v>46201</v>
      </c>
      <c r="B7" s="2" t="s">
        <v>107</v>
      </c>
      <c r="C7" s="2" t="s">
        <v>108</v>
      </c>
      <c r="D7" s="2" t="s">
        <v>109</v>
      </c>
      <c r="E7" s="2" t="s">
        <v>109</v>
      </c>
      <c r="F7" s="2" t="s">
        <v>111</v>
      </c>
      <c r="G7" s="2">
        <v>-8037.02</v>
      </c>
      <c r="H7" s="2">
        <v>12412.52</v>
      </c>
      <c r="I7" s="4">
        <v>46202.1379050926</v>
      </c>
      <c r="J7" s="2" t="s">
        <v>43</v>
      </c>
    </row>
    <row r="8" ht="16.8" spans="1:10">
      <c r="A8" s="3">
        <v>46200</v>
      </c>
      <c r="B8" s="2" t="s">
        <v>107</v>
      </c>
      <c r="C8" s="2" t="s">
        <v>108</v>
      </c>
      <c r="D8" s="2" t="s">
        <v>109</v>
      </c>
      <c r="E8" s="2" t="s">
        <v>109</v>
      </c>
      <c r="F8" s="2" t="s">
        <v>111</v>
      </c>
      <c r="G8" s="2">
        <v>-8018.17</v>
      </c>
      <c r="H8" s="2">
        <v>20449.54</v>
      </c>
      <c r="I8" s="4">
        <v>46201.1274074074</v>
      </c>
      <c r="J8" s="2" t="s">
        <v>43</v>
      </c>
    </row>
    <row r="9" ht="16.8" spans="1:10">
      <c r="A9" s="3">
        <v>46199</v>
      </c>
      <c r="B9" s="2" t="s">
        <v>107</v>
      </c>
      <c r="C9" s="2" t="s">
        <v>108</v>
      </c>
      <c r="D9" s="2" t="s">
        <v>109</v>
      </c>
      <c r="E9" s="2" t="s">
        <v>109</v>
      </c>
      <c r="F9" s="2" t="s">
        <v>111</v>
      </c>
      <c r="G9" s="2">
        <v>-7503.98</v>
      </c>
      <c r="H9" s="2">
        <v>28467.71</v>
      </c>
      <c r="I9" s="4">
        <v>46200.1621412037</v>
      </c>
      <c r="J9" s="2" t="s">
        <v>43</v>
      </c>
    </row>
    <row r="10" ht="16.8" spans="1:10">
      <c r="A10" s="3">
        <v>46198</v>
      </c>
      <c r="B10" s="2" t="s">
        <v>107</v>
      </c>
      <c r="C10" s="2" t="s">
        <v>108</v>
      </c>
      <c r="D10" s="2" t="s">
        <v>109</v>
      </c>
      <c r="E10" s="2" t="s">
        <v>109</v>
      </c>
      <c r="F10" s="2" t="s">
        <v>111</v>
      </c>
      <c r="G10" s="2">
        <v>-7554.38</v>
      </c>
      <c r="H10" s="2">
        <v>35971.69</v>
      </c>
      <c r="I10" s="4">
        <v>46199.1378009259</v>
      </c>
      <c r="J10" s="2" t="s">
        <v>43</v>
      </c>
    </row>
    <row r="11" ht="16.8" spans="1:10">
      <c r="A11" s="3">
        <v>46197</v>
      </c>
      <c r="B11" s="2" t="s">
        <v>107</v>
      </c>
      <c r="C11" s="2" t="s">
        <v>108</v>
      </c>
      <c r="D11" s="2" t="s">
        <v>109</v>
      </c>
      <c r="E11" s="2" t="s">
        <v>109</v>
      </c>
      <c r="F11" s="2" t="s">
        <v>111</v>
      </c>
      <c r="G11" s="2">
        <v>-7793.21</v>
      </c>
      <c r="H11" s="2">
        <v>43526.07</v>
      </c>
      <c r="I11" s="4">
        <v>46198.1271527778</v>
      </c>
      <c r="J11" s="2" t="s">
        <v>43</v>
      </c>
    </row>
    <row r="12" ht="16.8" spans="1:10">
      <c r="A12" s="3">
        <v>46196</v>
      </c>
      <c r="B12" s="2" t="s">
        <v>107</v>
      </c>
      <c r="C12" s="2" t="s">
        <v>108</v>
      </c>
      <c r="D12" s="2" t="s">
        <v>109</v>
      </c>
      <c r="E12" s="2" t="s">
        <v>109</v>
      </c>
      <c r="F12" s="2" t="s">
        <v>111</v>
      </c>
      <c r="G12" s="2">
        <v>-8002.71</v>
      </c>
      <c r="H12" s="2">
        <v>51319.28</v>
      </c>
      <c r="I12" s="4">
        <v>46197.1270138889</v>
      </c>
      <c r="J12" s="2" t="s">
        <v>43</v>
      </c>
    </row>
    <row r="13" ht="16.8" spans="1:10">
      <c r="A13" s="3">
        <v>46195</v>
      </c>
      <c r="B13" s="2" t="s">
        <v>107</v>
      </c>
      <c r="C13" s="2" t="s">
        <v>108</v>
      </c>
      <c r="D13" s="2" t="s">
        <v>109</v>
      </c>
      <c r="E13" s="2" t="s">
        <v>109</v>
      </c>
      <c r="F13" s="2" t="s">
        <v>111</v>
      </c>
      <c r="G13" s="2">
        <v>-8017.06</v>
      </c>
      <c r="H13" s="2">
        <v>59321.99</v>
      </c>
      <c r="I13" s="4">
        <v>46196.1270717593</v>
      </c>
      <c r="J13" s="2" t="s">
        <v>43</v>
      </c>
    </row>
    <row r="14" ht="16.8" spans="1:10">
      <c r="A14" s="3">
        <v>46194</v>
      </c>
      <c r="B14" s="2" t="s">
        <v>107</v>
      </c>
      <c r="C14" s="2" t="s">
        <v>108</v>
      </c>
      <c r="D14" s="2" t="s">
        <v>109</v>
      </c>
      <c r="E14" s="2" t="s">
        <v>109</v>
      </c>
      <c r="F14" s="2" t="s">
        <v>111</v>
      </c>
      <c r="G14" s="2">
        <v>-8979.35</v>
      </c>
      <c r="H14" s="2">
        <v>67339.05</v>
      </c>
      <c r="I14" s="4">
        <v>46195.1269444444</v>
      </c>
      <c r="J14" s="2" t="s">
        <v>43</v>
      </c>
    </row>
    <row r="15" ht="16.8" spans="1:10">
      <c r="A15" s="3">
        <v>46193</v>
      </c>
      <c r="B15" s="2" t="s">
        <v>107</v>
      </c>
      <c r="C15" s="2" t="s">
        <v>108</v>
      </c>
      <c r="D15" s="2" t="s">
        <v>109</v>
      </c>
      <c r="E15" s="2" t="s">
        <v>109</v>
      </c>
      <c r="F15" s="2" t="s">
        <v>111</v>
      </c>
      <c r="G15" s="2">
        <v>-8417.15</v>
      </c>
      <c r="H15" s="2">
        <v>76318.4</v>
      </c>
      <c r="I15" s="4">
        <v>46194.1270601852</v>
      </c>
      <c r="J15" s="2" t="s">
        <v>43</v>
      </c>
    </row>
    <row r="16" ht="16.8" spans="1:10">
      <c r="A16" s="3">
        <v>46192</v>
      </c>
      <c r="B16" s="2" t="s">
        <v>107</v>
      </c>
      <c r="C16" s="2" t="s">
        <v>108</v>
      </c>
      <c r="D16" s="2" t="s">
        <v>109</v>
      </c>
      <c r="E16" s="2" t="s">
        <v>109</v>
      </c>
      <c r="F16" s="2" t="s">
        <v>111</v>
      </c>
      <c r="G16" s="2">
        <v>-6831.83</v>
      </c>
      <c r="H16" s="2">
        <v>84735.55</v>
      </c>
      <c r="I16" s="4">
        <v>46193.1338425926</v>
      </c>
      <c r="J16" s="2" t="s">
        <v>43</v>
      </c>
    </row>
    <row r="17" ht="16.8" spans="1:10">
      <c r="A17" s="3">
        <v>46191</v>
      </c>
      <c r="B17" s="2" t="s">
        <v>107</v>
      </c>
      <c r="C17" s="2" t="s">
        <v>108</v>
      </c>
      <c r="D17" s="2" t="s">
        <v>109</v>
      </c>
      <c r="E17" s="2" t="s">
        <v>109</v>
      </c>
      <c r="F17" s="2" t="s">
        <v>111</v>
      </c>
      <c r="G17" s="2">
        <v>-20319.54</v>
      </c>
      <c r="H17" s="2">
        <v>91567.38</v>
      </c>
      <c r="I17" s="4">
        <v>46192.1374421296</v>
      </c>
      <c r="J17" s="2" t="s">
        <v>43</v>
      </c>
    </row>
    <row r="18" ht="16.8" spans="1:10">
      <c r="A18" s="3">
        <v>46190</v>
      </c>
      <c r="B18" s="2" t="s">
        <v>107</v>
      </c>
      <c r="C18" s="2" t="s">
        <v>108</v>
      </c>
      <c r="D18" s="2" t="s">
        <v>109</v>
      </c>
      <c r="E18" s="2" t="s">
        <v>109</v>
      </c>
      <c r="F18" s="2" t="s">
        <v>111</v>
      </c>
      <c r="G18" s="2">
        <v>-18594.84</v>
      </c>
      <c r="H18" s="2">
        <v>111886.92</v>
      </c>
      <c r="I18" s="4">
        <v>46191.1304976852</v>
      </c>
      <c r="J18" s="2" t="s">
        <v>43</v>
      </c>
    </row>
    <row r="19" ht="16.8" spans="1:10">
      <c r="A19" s="3">
        <v>46189</v>
      </c>
      <c r="B19" s="2" t="s">
        <v>107</v>
      </c>
      <c r="C19" s="2" t="s">
        <v>108</v>
      </c>
      <c r="D19" s="2" t="s">
        <v>109</v>
      </c>
      <c r="E19" s="2" t="s">
        <v>109</v>
      </c>
      <c r="F19" s="2" t="s">
        <v>111</v>
      </c>
      <c r="G19" s="2">
        <v>-19599.85</v>
      </c>
      <c r="H19" s="2">
        <v>130481.76</v>
      </c>
      <c r="I19" s="4">
        <v>46190.1445833333</v>
      </c>
      <c r="J19" s="2" t="s">
        <v>43</v>
      </c>
    </row>
    <row r="20" ht="16.8" spans="1:10">
      <c r="A20" s="3">
        <v>46189</v>
      </c>
      <c r="B20" s="2" t="s">
        <v>107</v>
      </c>
      <c r="C20" s="2" t="s">
        <v>108</v>
      </c>
      <c r="D20" s="2" t="s">
        <v>109</v>
      </c>
      <c r="E20" s="2" t="s">
        <v>109</v>
      </c>
      <c r="F20" s="2" t="s">
        <v>112</v>
      </c>
      <c r="G20" s="2">
        <v>-170.81</v>
      </c>
      <c r="H20" s="2">
        <v>0</v>
      </c>
      <c r="I20" s="4">
        <v>46190.1445833333</v>
      </c>
      <c r="J20" s="2" t="s">
        <v>43</v>
      </c>
    </row>
    <row r="21" ht="16.8" spans="1:10">
      <c r="A21" s="3">
        <v>46188</v>
      </c>
      <c r="B21" s="2" t="s">
        <v>107</v>
      </c>
      <c r="C21" s="2" t="s">
        <v>108</v>
      </c>
      <c r="D21" s="2" t="s">
        <v>109</v>
      </c>
      <c r="E21" s="2" t="s">
        <v>109</v>
      </c>
      <c r="F21" s="2" t="s">
        <v>111</v>
      </c>
      <c r="G21" s="2">
        <v>-20861.45</v>
      </c>
      <c r="H21" s="2">
        <v>150081.61</v>
      </c>
      <c r="I21" s="4">
        <v>46189.1307407407</v>
      </c>
      <c r="J21" s="2" t="s">
        <v>43</v>
      </c>
    </row>
    <row r="22" ht="16.8" spans="1:10">
      <c r="A22" s="3">
        <v>46187</v>
      </c>
      <c r="B22" s="2" t="s">
        <v>107</v>
      </c>
      <c r="C22" s="2" t="s">
        <v>108</v>
      </c>
      <c r="D22" s="2" t="s">
        <v>109</v>
      </c>
      <c r="E22" s="2" t="s">
        <v>109</v>
      </c>
      <c r="F22" s="2" t="s">
        <v>111</v>
      </c>
      <c r="G22" s="2">
        <v>-20056.88</v>
      </c>
      <c r="H22" s="2">
        <v>14826.06</v>
      </c>
      <c r="I22" s="4">
        <v>46188.1410300926</v>
      </c>
      <c r="J22" s="2" t="s">
        <v>43</v>
      </c>
    </row>
    <row r="23" ht="16.8" spans="1:10">
      <c r="A23" s="3">
        <v>46186</v>
      </c>
      <c r="B23" s="2" t="s">
        <v>107</v>
      </c>
      <c r="C23" s="2" t="s">
        <v>108</v>
      </c>
      <c r="D23" s="2" t="s">
        <v>109</v>
      </c>
      <c r="E23" s="2" t="s">
        <v>109</v>
      </c>
      <c r="F23" s="2" t="s">
        <v>111</v>
      </c>
      <c r="G23" s="2">
        <v>-16037.19</v>
      </c>
      <c r="H23" s="2">
        <v>34882.94</v>
      </c>
      <c r="I23" s="4">
        <v>46187.1305324074</v>
      </c>
      <c r="J23" s="2" t="s">
        <v>43</v>
      </c>
    </row>
    <row r="24" ht="16.8" spans="1:10">
      <c r="A24" s="3">
        <v>46185</v>
      </c>
      <c r="B24" s="2" t="s">
        <v>107</v>
      </c>
      <c r="C24" s="2" t="s">
        <v>108</v>
      </c>
      <c r="D24" s="2" t="s">
        <v>109</v>
      </c>
      <c r="E24" s="2" t="s">
        <v>109</v>
      </c>
      <c r="F24" s="2" t="s">
        <v>111</v>
      </c>
      <c r="G24" s="2">
        <v>-14538.03</v>
      </c>
      <c r="H24" s="2">
        <v>50920.13</v>
      </c>
      <c r="I24" s="4">
        <v>46186.1305787037</v>
      </c>
      <c r="J24" s="2" t="s">
        <v>43</v>
      </c>
    </row>
    <row r="25" ht="16.8" spans="1:10">
      <c r="A25" s="3">
        <v>46184</v>
      </c>
      <c r="B25" s="2" t="s">
        <v>107</v>
      </c>
      <c r="C25" s="2" t="s">
        <v>108</v>
      </c>
      <c r="D25" s="2" t="s">
        <v>109</v>
      </c>
      <c r="E25" s="2" t="s">
        <v>109</v>
      </c>
      <c r="F25" s="2" t="s">
        <v>111</v>
      </c>
      <c r="G25" s="2">
        <v>-14541.84</v>
      </c>
      <c r="H25" s="2">
        <v>65458.16</v>
      </c>
      <c r="I25" s="4">
        <v>46185.1271527778</v>
      </c>
      <c r="J25" s="2" t="s">
        <v>43</v>
      </c>
    </row>
    <row r="26" ht="16.8" spans="1:10">
      <c r="A26" s="3">
        <v>46183</v>
      </c>
      <c r="B26" s="2" t="s">
        <v>107</v>
      </c>
      <c r="C26" s="2" t="s">
        <v>108</v>
      </c>
      <c r="D26" s="2" t="s">
        <v>109</v>
      </c>
      <c r="E26" s="2" t="s">
        <v>109</v>
      </c>
      <c r="F26" s="2" t="s">
        <v>110</v>
      </c>
      <c r="G26" s="2">
        <v>-16368.87</v>
      </c>
      <c r="H26" s="2">
        <v>786.91</v>
      </c>
      <c r="I26" s="4">
        <v>46184.1269907407</v>
      </c>
      <c r="J26" s="2" t="s">
        <v>43</v>
      </c>
    </row>
    <row r="27" ht="16.8" spans="1:10">
      <c r="A27" s="3">
        <v>46182</v>
      </c>
      <c r="B27" s="2" t="s">
        <v>107</v>
      </c>
      <c r="C27" s="2" t="s">
        <v>108</v>
      </c>
      <c r="D27" s="2" t="s">
        <v>109</v>
      </c>
      <c r="E27" s="2" t="s">
        <v>109</v>
      </c>
      <c r="F27" s="2" t="s">
        <v>110</v>
      </c>
      <c r="G27" s="2">
        <v>-17507.78</v>
      </c>
      <c r="H27" s="2">
        <v>17155.78</v>
      </c>
      <c r="I27" s="4">
        <v>46183.1306481482</v>
      </c>
      <c r="J27" s="2" t="s">
        <v>43</v>
      </c>
    </row>
    <row r="28" ht="16.8" spans="1:10">
      <c r="A28" s="3">
        <v>46181</v>
      </c>
      <c r="B28" s="2" t="s">
        <v>107</v>
      </c>
      <c r="C28" s="2" t="s">
        <v>108</v>
      </c>
      <c r="D28" s="2" t="s">
        <v>109</v>
      </c>
      <c r="E28" s="2" t="s">
        <v>109</v>
      </c>
      <c r="F28" s="2" t="s">
        <v>110</v>
      </c>
      <c r="G28" s="2">
        <v>-14550.86</v>
      </c>
      <c r="H28" s="2">
        <v>34663.56</v>
      </c>
      <c r="I28" s="4">
        <v>46182.1304513889</v>
      </c>
      <c r="J28" s="2" t="s">
        <v>43</v>
      </c>
    </row>
    <row r="29" ht="16.8" spans="1:10">
      <c r="A29" s="3">
        <v>46180</v>
      </c>
      <c r="B29" s="2" t="s">
        <v>107</v>
      </c>
      <c r="C29" s="2" t="s">
        <v>108</v>
      </c>
      <c r="D29" s="2" t="s">
        <v>109</v>
      </c>
      <c r="E29" s="2" t="s">
        <v>109</v>
      </c>
      <c r="F29" s="2" t="s">
        <v>110</v>
      </c>
      <c r="G29" s="2">
        <v>-15323.72</v>
      </c>
      <c r="H29" s="2">
        <v>49214.42</v>
      </c>
      <c r="I29" s="4">
        <v>46181.1409027778</v>
      </c>
      <c r="J29" s="2" t="s">
        <v>43</v>
      </c>
    </row>
    <row r="30" ht="16.8" spans="1:10">
      <c r="A30" s="3">
        <v>46179</v>
      </c>
      <c r="B30" s="2" t="s">
        <v>107</v>
      </c>
      <c r="C30" s="2" t="s">
        <v>108</v>
      </c>
      <c r="D30" s="2" t="s">
        <v>109</v>
      </c>
      <c r="E30" s="2" t="s">
        <v>109</v>
      </c>
      <c r="F30" s="2" t="s">
        <v>110</v>
      </c>
      <c r="G30" s="2">
        <v>-20168.16</v>
      </c>
      <c r="H30" s="2">
        <v>64538.14</v>
      </c>
      <c r="I30" s="4">
        <v>46180.1306365741</v>
      </c>
      <c r="J30" s="2" t="s">
        <v>43</v>
      </c>
    </row>
    <row r="31" ht="16.8" spans="1:10">
      <c r="A31" s="3">
        <v>46178</v>
      </c>
      <c r="B31" s="2" t="s">
        <v>107</v>
      </c>
      <c r="C31" s="2" t="s">
        <v>108</v>
      </c>
      <c r="D31" s="2" t="s">
        <v>109</v>
      </c>
      <c r="E31" s="2" t="s">
        <v>109</v>
      </c>
      <c r="F31" s="2" t="s">
        <v>110</v>
      </c>
      <c r="G31" s="2">
        <v>-29339.65</v>
      </c>
      <c r="H31" s="2">
        <v>84706.3</v>
      </c>
      <c r="I31" s="4">
        <v>46179.1410763889</v>
      </c>
      <c r="J31" s="2" t="s">
        <v>43</v>
      </c>
    </row>
    <row r="32" ht="16.8" spans="1:10">
      <c r="A32" s="3">
        <v>46177</v>
      </c>
      <c r="B32" s="2" t="s">
        <v>107</v>
      </c>
      <c r="C32" s="2" t="s">
        <v>108</v>
      </c>
      <c r="D32" s="2" t="s">
        <v>109</v>
      </c>
      <c r="E32" s="2" t="s">
        <v>109</v>
      </c>
      <c r="F32" s="2" t="s">
        <v>113</v>
      </c>
      <c r="G32" s="2">
        <v>-425.85</v>
      </c>
      <c r="H32" s="2">
        <v>0</v>
      </c>
      <c r="I32" s="4">
        <v>46178.1270601852</v>
      </c>
      <c r="J32" s="2" t="s">
        <v>43</v>
      </c>
    </row>
    <row r="33" ht="16.8" spans="1:10">
      <c r="A33" s="3">
        <v>46177</v>
      </c>
      <c r="B33" s="2" t="s">
        <v>107</v>
      </c>
      <c r="C33" s="2" t="s">
        <v>108</v>
      </c>
      <c r="D33" s="2" t="s">
        <v>109</v>
      </c>
      <c r="E33" s="2" t="s">
        <v>109</v>
      </c>
      <c r="F33" s="2" t="s">
        <v>110</v>
      </c>
      <c r="G33" s="2">
        <v>-29684.49</v>
      </c>
      <c r="H33" s="2">
        <v>114045.95</v>
      </c>
      <c r="I33" s="4">
        <v>46178.1270601852</v>
      </c>
      <c r="J33" s="2" t="s">
        <v>43</v>
      </c>
    </row>
    <row r="34" ht="16.8" spans="1:10">
      <c r="A34" s="3">
        <v>46176</v>
      </c>
      <c r="B34" s="2" t="s">
        <v>107</v>
      </c>
      <c r="C34" s="2" t="s">
        <v>108</v>
      </c>
      <c r="D34" s="2" t="s">
        <v>109</v>
      </c>
      <c r="E34" s="2" t="s">
        <v>109</v>
      </c>
      <c r="F34" s="2" t="s">
        <v>110</v>
      </c>
      <c r="G34" s="2">
        <v>-35103.14</v>
      </c>
      <c r="H34" s="2">
        <v>143730.44</v>
      </c>
      <c r="I34" s="4">
        <v>46177.1236805556</v>
      </c>
      <c r="J34" s="2" t="s">
        <v>43</v>
      </c>
    </row>
    <row r="35" ht="16.8" spans="1:10">
      <c r="A35" s="3">
        <v>46175</v>
      </c>
      <c r="B35" s="2" t="s">
        <v>107</v>
      </c>
      <c r="C35" s="2" t="s">
        <v>108</v>
      </c>
      <c r="D35" s="2" t="s">
        <v>109</v>
      </c>
      <c r="E35" s="2" t="s">
        <v>109</v>
      </c>
      <c r="F35" s="2" t="s">
        <v>110</v>
      </c>
      <c r="G35" s="2">
        <v>-25502.63</v>
      </c>
      <c r="H35" s="2">
        <v>28833.58</v>
      </c>
      <c r="I35" s="4">
        <v>46176.1235648148</v>
      </c>
      <c r="J35" s="2" t="s">
        <v>43</v>
      </c>
    </row>
    <row r="36" ht="16.8" spans="1:10">
      <c r="A36" s="3">
        <v>46174</v>
      </c>
      <c r="B36" s="2" t="s">
        <v>107</v>
      </c>
      <c r="C36" s="2" t="s">
        <v>108</v>
      </c>
      <c r="D36" s="2" t="s">
        <v>109</v>
      </c>
      <c r="E36" s="2" t="s">
        <v>109</v>
      </c>
      <c r="F36" s="2" t="s">
        <v>110</v>
      </c>
      <c r="G36" s="2">
        <v>-15226.95</v>
      </c>
      <c r="H36" s="2">
        <v>54336.21</v>
      </c>
      <c r="I36" s="4">
        <v>46175.1234606481</v>
      </c>
      <c r="J36" s="2" t="s">
        <v>43</v>
      </c>
    </row>
    <row r="37" ht="16.8" spans="1:10">
      <c r="A37" s="3">
        <v>46173</v>
      </c>
      <c r="B37" s="2" t="s">
        <v>107</v>
      </c>
      <c r="C37" s="2" t="s">
        <v>108</v>
      </c>
      <c r="D37" s="2" t="s">
        <v>109</v>
      </c>
      <c r="E37" s="2" t="s">
        <v>109</v>
      </c>
      <c r="F37" s="2" t="s">
        <v>110</v>
      </c>
      <c r="G37" s="2">
        <v>-22425.63</v>
      </c>
      <c r="H37" s="2">
        <v>69563.16</v>
      </c>
      <c r="I37" s="4">
        <v>46174.1271180556</v>
      </c>
      <c r="J37" s="2" t="s">
        <v>43</v>
      </c>
    </row>
    <row r="38" ht="16.8" spans="1:10">
      <c r="A38" s="3">
        <v>46172</v>
      </c>
      <c r="B38" s="2" t="s">
        <v>107</v>
      </c>
      <c r="C38" s="2" t="s">
        <v>108</v>
      </c>
      <c r="D38" s="2" t="s">
        <v>109</v>
      </c>
      <c r="E38" s="2" t="s">
        <v>109</v>
      </c>
      <c r="F38" s="2" t="s">
        <v>111</v>
      </c>
      <c r="G38" s="2">
        <v>-20579.09</v>
      </c>
      <c r="H38" s="2">
        <v>0</v>
      </c>
      <c r="I38" s="4">
        <v>46173.1410648148</v>
      </c>
      <c r="J38" s="2" t="s">
        <v>43</v>
      </c>
    </row>
    <row r="39" ht="16.8" spans="1:10">
      <c r="A39" s="3">
        <v>46172</v>
      </c>
      <c r="B39" s="2" t="s">
        <v>107</v>
      </c>
      <c r="C39" s="2" t="s">
        <v>108</v>
      </c>
      <c r="D39" s="2" t="s">
        <v>109</v>
      </c>
      <c r="E39" s="2" t="s">
        <v>109</v>
      </c>
      <c r="F39" s="2" t="s">
        <v>110</v>
      </c>
      <c r="G39" s="2">
        <v>-1489.8</v>
      </c>
      <c r="H39" s="2">
        <v>91988.79</v>
      </c>
      <c r="I39" s="4">
        <v>46173.1410648148</v>
      </c>
      <c r="J39" s="2" t="s">
        <v>43</v>
      </c>
    </row>
    <row r="40" ht="16.8" spans="1:10">
      <c r="A40" s="3">
        <v>46171</v>
      </c>
      <c r="B40" s="2" t="s">
        <v>107</v>
      </c>
      <c r="C40" s="2" t="s">
        <v>108</v>
      </c>
      <c r="D40" s="2" t="s">
        <v>109</v>
      </c>
      <c r="E40" s="2" t="s">
        <v>109</v>
      </c>
      <c r="F40" s="2" t="s">
        <v>111</v>
      </c>
      <c r="G40" s="2">
        <v>-16888.56</v>
      </c>
      <c r="H40" s="2">
        <v>20579.09</v>
      </c>
      <c r="I40" s="4">
        <v>46172.1305324074</v>
      </c>
      <c r="J40" s="2" t="s">
        <v>43</v>
      </c>
    </row>
    <row r="41" ht="16.8" spans="1:10">
      <c r="A41" s="3">
        <v>46170</v>
      </c>
      <c r="B41" s="2" t="s">
        <v>107</v>
      </c>
      <c r="C41" s="2" t="s">
        <v>108</v>
      </c>
      <c r="D41" s="2" t="s">
        <v>109</v>
      </c>
      <c r="E41" s="2" t="s">
        <v>109</v>
      </c>
      <c r="F41" s="2" t="s">
        <v>111</v>
      </c>
      <c r="G41" s="2">
        <v>-20034.99</v>
      </c>
      <c r="H41" s="2">
        <v>37467.65</v>
      </c>
      <c r="I41" s="4">
        <v>46171.1270949074</v>
      </c>
      <c r="J41" s="2" t="s">
        <v>43</v>
      </c>
    </row>
    <row r="42" ht="16.8" spans="1:10">
      <c r="A42" s="3">
        <v>46169</v>
      </c>
      <c r="B42" s="2" t="s">
        <v>107</v>
      </c>
      <c r="C42" s="2" t="s">
        <v>108</v>
      </c>
      <c r="D42" s="2" t="s">
        <v>109</v>
      </c>
      <c r="E42" s="2" t="s">
        <v>109</v>
      </c>
      <c r="F42" s="2" t="s">
        <v>111</v>
      </c>
      <c r="G42" s="2">
        <v>-21404.68</v>
      </c>
      <c r="H42" s="2">
        <v>57502.64</v>
      </c>
      <c r="I42" s="4">
        <v>46170.1340740741</v>
      </c>
      <c r="J42" s="2" t="s">
        <v>43</v>
      </c>
    </row>
    <row r="43" ht="16.8" spans="1:10">
      <c r="A43" s="3">
        <v>46168</v>
      </c>
      <c r="B43" s="2" t="s">
        <v>107</v>
      </c>
      <c r="C43" s="2" t="s">
        <v>108</v>
      </c>
      <c r="D43" s="2" t="s">
        <v>109</v>
      </c>
      <c r="E43" s="2" t="s">
        <v>109</v>
      </c>
      <c r="F43" s="2" t="s">
        <v>111</v>
      </c>
      <c r="G43" s="2">
        <v>-25779.88</v>
      </c>
      <c r="H43" s="2">
        <v>78907.32</v>
      </c>
      <c r="I43" s="4">
        <v>46169.1341319444</v>
      </c>
      <c r="J43" s="2" t="s">
        <v>43</v>
      </c>
    </row>
    <row r="44" ht="16.8" spans="1:10">
      <c r="A44" s="3">
        <v>46168</v>
      </c>
      <c r="B44" s="2" t="s">
        <v>107</v>
      </c>
      <c r="C44" s="2" t="s">
        <v>108</v>
      </c>
      <c r="D44" s="2" t="s">
        <v>109</v>
      </c>
      <c r="E44" s="2" t="s">
        <v>109</v>
      </c>
      <c r="F44" s="2" t="s">
        <v>112</v>
      </c>
      <c r="G44" s="2">
        <v>-20.57</v>
      </c>
      <c r="H44" s="2">
        <v>0</v>
      </c>
      <c r="I44" s="4">
        <v>46169.1341319444</v>
      </c>
      <c r="J44" s="2" t="s">
        <v>43</v>
      </c>
    </row>
    <row r="45" ht="16.8" spans="1:10">
      <c r="A45" s="3">
        <v>46167</v>
      </c>
      <c r="B45" s="2" t="s">
        <v>107</v>
      </c>
      <c r="C45" s="2" t="s">
        <v>108</v>
      </c>
      <c r="D45" s="2" t="s">
        <v>109</v>
      </c>
      <c r="E45" s="2" t="s">
        <v>109</v>
      </c>
      <c r="F45" s="2" t="s">
        <v>111</v>
      </c>
      <c r="G45" s="2">
        <v>-25566.83</v>
      </c>
      <c r="H45" s="2">
        <v>104687.2</v>
      </c>
      <c r="I45" s="4">
        <v>46168.1271180556</v>
      </c>
      <c r="J45" s="2" t="s">
        <v>43</v>
      </c>
    </row>
    <row r="46" ht="16.8" spans="1:10">
      <c r="A46" s="3">
        <v>46166</v>
      </c>
      <c r="B46" s="2" t="s">
        <v>107</v>
      </c>
      <c r="C46" s="2" t="s">
        <v>108</v>
      </c>
      <c r="D46" s="2" t="s">
        <v>109</v>
      </c>
      <c r="E46" s="2" t="s">
        <v>109</v>
      </c>
      <c r="F46" s="2" t="s">
        <v>111</v>
      </c>
      <c r="G46" s="2">
        <v>-24309.87</v>
      </c>
      <c r="H46" s="2">
        <v>130254.03</v>
      </c>
      <c r="I46" s="4">
        <v>46167.1200925926</v>
      </c>
      <c r="J46" s="2" t="s">
        <v>43</v>
      </c>
    </row>
    <row r="47" ht="16.8" spans="1:10">
      <c r="A47" s="3">
        <v>46165</v>
      </c>
      <c r="B47" s="2" t="s">
        <v>107</v>
      </c>
      <c r="C47" s="2" t="s">
        <v>108</v>
      </c>
      <c r="D47" s="2" t="s">
        <v>109</v>
      </c>
      <c r="E47" s="2" t="s">
        <v>109</v>
      </c>
      <c r="F47" s="2" t="s">
        <v>111</v>
      </c>
      <c r="G47" s="2">
        <v>-23299.38</v>
      </c>
      <c r="H47" s="2">
        <v>154563.9</v>
      </c>
      <c r="I47" s="4">
        <v>46166.1340393519</v>
      </c>
      <c r="J47" s="2" t="s">
        <v>43</v>
      </c>
    </row>
    <row r="48" ht="16.8" spans="1:10">
      <c r="A48" s="3">
        <v>46164</v>
      </c>
      <c r="B48" s="2" t="s">
        <v>107</v>
      </c>
      <c r="C48" s="2" t="s">
        <v>108</v>
      </c>
      <c r="D48" s="2" t="s">
        <v>109</v>
      </c>
      <c r="E48" s="2" t="s">
        <v>109</v>
      </c>
      <c r="F48" s="2" t="s">
        <v>111</v>
      </c>
      <c r="G48" s="2">
        <v>-22136.72</v>
      </c>
      <c r="H48" s="2">
        <v>177863.28</v>
      </c>
      <c r="I48" s="4">
        <v>46165.1340856481</v>
      </c>
      <c r="J48" s="2" t="s">
        <v>43</v>
      </c>
    </row>
    <row r="49" ht="16.8" spans="1:10">
      <c r="A49" s="3">
        <v>46163</v>
      </c>
      <c r="B49" s="2" t="s">
        <v>107</v>
      </c>
      <c r="C49" s="2" t="s">
        <v>108</v>
      </c>
      <c r="D49" s="2" t="s">
        <v>109</v>
      </c>
      <c r="E49" s="2" t="s">
        <v>109</v>
      </c>
      <c r="F49" s="2" t="s">
        <v>112</v>
      </c>
      <c r="G49" s="2">
        <v>-1.53</v>
      </c>
      <c r="H49" s="2">
        <v>0</v>
      </c>
      <c r="I49" s="4">
        <v>46164.1235648148</v>
      </c>
      <c r="J49" s="2" t="s">
        <v>43</v>
      </c>
    </row>
    <row r="50" ht="16.8" spans="1:10">
      <c r="A50" s="3">
        <v>46163</v>
      </c>
      <c r="B50" s="2" t="s">
        <v>107</v>
      </c>
      <c r="C50" s="2" t="s">
        <v>108</v>
      </c>
      <c r="D50" s="2" t="s">
        <v>109</v>
      </c>
      <c r="E50" s="2" t="s">
        <v>109</v>
      </c>
      <c r="F50" s="2" t="s">
        <v>110</v>
      </c>
      <c r="G50" s="2">
        <v>-20044.19</v>
      </c>
      <c r="H50" s="2">
        <v>46406.16</v>
      </c>
      <c r="I50" s="4">
        <v>46164.1235648148</v>
      </c>
      <c r="J50" s="2" t="s">
        <v>43</v>
      </c>
    </row>
    <row r="51" ht="16.8" spans="1:10">
      <c r="A51" s="3">
        <v>46162</v>
      </c>
      <c r="B51" s="2" t="s">
        <v>107</v>
      </c>
      <c r="C51" s="2" t="s">
        <v>108</v>
      </c>
      <c r="D51" s="2" t="s">
        <v>109</v>
      </c>
      <c r="E51" s="2" t="s">
        <v>109</v>
      </c>
      <c r="F51" s="2" t="s">
        <v>110</v>
      </c>
      <c r="G51" s="2">
        <v>-18663.4</v>
      </c>
      <c r="H51" s="2">
        <v>66450.35</v>
      </c>
      <c r="I51" s="4">
        <v>46163.1270717593</v>
      </c>
      <c r="J51" s="2" t="s">
        <v>43</v>
      </c>
    </row>
    <row r="52" ht="16.8" spans="1:10">
      <c r="A52" s="3">
        <v>46161</v>
      </c>
      <c r="B52" s="2" t="s">
        <v>107</v>
      </c>
      <c r="C52" s="2" t="s">
        <v>108</v>
      </c>
      <c r="D52" s="2" t="s">
        <v>109</v>
      </c>
      <c r="E52" s="2" t="s">
        <v>109</v>
      </c>
      <c r="F52" s="2" t="s">
        <v>110</v>
      </c>
      <c r="G52" s="2">
        <v>-18697.78</v>
      </c>
      <c r="H52" s="2">
        <v>85113.75</v>
      </c>
      <c r="I52" s="4">
        <v>46162.120162037</v>
      </c>
      <c r="J52" s="2" t="s">
        <v>43</v>
      </c>
    </row>
    <row r="53" ht="16.8" spans="1:10">
      <c r="A53" s="3">
        <v>46160</v>
      </c>
      <c r="B53" s="2" t="s">
        <v>107</v>
      </c>
      <c r="C53" s="2" t="s">
        <v>108</v>
      </c>
      <c r="D53" s="2" t="s">
        <v>109</v>
      </c>
      <c r="E53" s="2" t="s">
        <v>109</v>
      </c>
      <c r="F53" s="2" t="s">
        <v>110</v>
      </c>
      <c r="G53" s="2">
        <v>-18765.4</v>
      </c>
      <c r="H53" s="2">
        <v>103811.53</v>
      </c>
      <c r="I53" s="4">
        <v>46161.1200810185</v>
      </c>
      <c r="J53" s="2" t="s">
        <v>43</v>
      </c>
    </row>
    <row r="54" ht="16.8" spans="1:10">
      <c r="A54" s="3">
        <v>46159</v>
      </c>
      <c r="B54" s="2" t="s">
        <v>107</v>
      </c>
      <c r="C54" s="2" t="s">
        <v>108</v>
      </c>
      <c r="D54" s="2" t="s">
        <v>109</v>
      </c>
      <c r="E54" s="2" t="s">
        <v>109</v>
      </c>
      <c r="F54" s="2" t="s">
        <v>110</v>
      </c>
      <c r="G54" s="2">
        <v>-18718.59</v>
      </c>
      <c r="H54" s="2">
        <v>122576.93</v>
      </c>
      <c r="I54" s="4">
        <v>46160.1235416667</v>
      </c>
      <c r="J54" s="2" t="s">
        <v>43</v>
      </c>
    </row>
    <row r="55" ht="16.8" spans="1:10">
      <c r="A55" s="3">
        <v>46158</v>
      </c>
      <c r="B55" s="2" t="s">
        <v>107</v>
      </c>
      <c r="C55" s="2" t="s">
        <v>108</v>
      </c>
      <c r="D55" s="2" t="s">
        <v>109</v>
      </c>
      <c r="E55" s="2" t="s">
        <v>109</v>
      </c>
      <c r="F55" s="2" t="s">
        <v>110</v>
      </c>
      <c r="G55" s="2">
        <v>-18712.14</v>
      </c>
      <c r="H55" s="2">
        <v>141295.52</v>
      </c>
      <c r="I55" s="4">
        <v>46159.1306365741</v>
      </c>
      <c r="J55" s="2" t="s">
        <v>43</v>
      </c>
    </row>
    <row r="56" ht="16.8" spans="1:10">
      <c r="A56" s="3">
        <v>46157</v>
      </c>
      <c r="B56" s="2" t="s">
        <v>107</v>
      </c>
      <c r="C56" s="2" t="s">
        <v>108</v>
      </c>
      <c r="D56" s="2" t="s">
        <v>109</v>
      </c>
      <c r="E56" s="2" t="s">
        <v>109</v>
      </c>
      <c r="F56" s="2" t="s">
        <v>110</v>
      </c>
      <c r="G56" s="2">
        <v>-17489.71</v>
      </c>
      <c r="H56" s="2">
        <v>160007.66</v>
      </c>
      <c r="I56" s="4">
        <v>46158.1236226852</v>
      </c>
      <c r="J56" s="2" t="s">
        <v>43</v>
      </c>
    </row>
    <row r="57" ht="16.8" spans="1:10">
      <c r="A57" s="3">
        <v>46156</v>
      </c>
      <c r="B57" s="2" t="s">
        <v>107</v>
      </c>
      <c r="C57" s="2" t="s">
        <v>108</v>
      </c>
      <c r="D57" s="2" t="s">
        <v>109</v>
      </c>
      <c r="E57" s="2" t="s">
        <v>109</v>
      </c>
      <c r="F57" s="2" t="s">
        <v>110</v>
      </c>
      <c r="G57" s="2">
        <v>-21345.37</v>
      </c>
      <c r="H57" s="2">
        <v>177497.37</v>
      </c>
      <c r="I57" s="4">
        <v>46157.1340162037</v>
      </c>
      <c r="J57" s="2" t="s">
        <v>43</v>
      </c>
    </row>
    <row r="58" ht="16.8" spans="1:10">
      <c r="A58" s="3">
        <v>46155</v>
      </c>
      <c r="B58" s="2" t="s">
        <v>107</v>
      </c>
      <c r="C58" s="2" t="s">
        <v>108</v>
      </c>
      <c r="D58" s="2" t="s">
        <v>109</v>
      </c>
      <c r="E58" s="2" t="s">
        <v>109</v>
      </c>
      <c r="F58" s="2" t="s">
        <v>110</v>
      </c>
      <c r="G58" s="2">
        <v>-18842.33</v>
      </c>
      <c r="H58" s="2">
        <v>198842.74</v>
      </c>
      <c r="I58" s="4">
        <v>46156.1165856481</v>
      </c>
      <c r="J58" s="2" t="s">
        <v>43</v>
      </c>
    </row>
    <row r="59" ht="16.8" spans="1:10">
      <c r="A59" s="3">
        <v>46154</v>
      </c>
      <c r="B59" s="2" t="s">
        <v>107</v>
      </c>
      <c r="C59" s="2" t="s">
        <v>108</v>
      </c>
      <c r="D59" s="2" t="s">
        <v>109</v>
      </c>
      <c r="E59" s="2" t="s">
        <v>109</v>
      </c>
      <c r="F59" s="2" t="s">
        <v>110</v>
      </c>
      <c r="G59" s="2">
        <v>-16550.17</v>
      </c>
      <c r="H59" s="2">
        <v>17685.07</v>
      </c>
      <c r="I59" s="4">
        <v>46155.1234606481</v>
      </c>
      <c r="J59" s="2" t="s">
        <v>43</v>
      </c>
    </row>
    <row r="60" ht="16.8" spans="1:10">
      <c r="A60" s="3">
        <v>46153</v>
      </c>
      <c r="B60" s="2" t="s">
        <v>107</v>
      </c>
      <c r="C60" s="2" t="s">
        <v>108</v>
      </c>
      <c r="D60" s="2" t="s">
        <v>109</v>
      </c>
      <c r="E60" s="2" t="s">
        <v>109</v>
      </c>
      <c r="F60" s="2" t="s">
        <v>110</v>
      </c>
      <c r="G60" s="2">
        <v>-16022.38</v>
      </c>
      <c r="H60" s="2">
        <v>34235.24</v>
      </c>
      <c r="I60" s="4">
        <v>46154.1200578704</v>
      </c>
      <c r="J60" s="2" t="s">
        <v>43</v>
      </c>
    </row>
    <row r="61" ht="16.8" spans="1:10">
      <c r="A61" s="3">
        <v>46152</v>
      </c>
      <c r="B61" s="2" t="s">
        <v>107</v>
      </c>
      <c r="C61" s="2" t="s">
        <v>108</v>
      </c>
      <c r="D61" s="2" t="s">
        <v>109</v>
      </c>
      <c r="E61" s="2" t="s">
        <v>109</v>
      </c>
      <c r="F61" s="2" t="s">
        <v>110</v>
      </c>
      <c r="G61" s="2">
        <v>-12785.07</v>
      </c>
      <c r="H61" s="2">
        <v>50257.62</v>
      </c>
      <c r="I61" s="4">
        <v>46153.1199884259</v>
      </c>
      <c r="J61" s="2" t="s">
        <v>43</v>
      </c>
    </row>
    <row r="62" ht="16.8" spans="1:10">
      <c r="A62" s="3">
        <v>46151</v>
      </c>
      <c r="B62" s="2" t="s">
        <v>107</v>
      </c>
      <c r="C62" s="2" t="s">
        <v>108</v>
      </c>
      <c r="D62" s="2" t="s">
        <v>109</v>
      </c>
      <c r="E62" s="2" t="s">
        <v>109</v>
      </c>
      <c r="F62" s="2" t="s">
        <v>110</v>
      </c>
      <c r="G62" s="2">
        <v>-12323.11</v>
      </c>
      <c r="H62" s="2">
        <v>63042.69</v>
      </c>
      <c r="I62" s="4">
        <v>46152.12</v>
      </c>
      <c r="J62" s="2" t="s">
        <v>43</v>
      </c>
    </row>
    <row r="63" ht="16.8" spans="1:10">
      <c r="A63" s="3">
        <v>46150</v>
      </c>
      <c r="B63" s="2" t="s">
        <v>107</v>
      </c>
      <c r="C63" s="2" t="s">
        <v>108</v>
      </c>
      <c r="D63" s="2" t="s">
        <v>109</v>
      </c>
      <c r="E63" s="2" t="s">
        <v>109</v>
      </c>
      <c r="F63" s="2" t="s">
        <v>110</v>
      </c>
      <c r="G63" s="2">
        <v>-10820.89</v>
      </c>
      <c r="H63" s="2">
        <v>75365.8</v>
      </c>
      <c r="I63" s="4">
        <v>46151.1270023148</v>
      </c>
      <c r="J63" s="2" t="s">
        <v>43</v>
      </c>
    </row>
    <row r="64" ht="16.8" spans="1:10">
      <c r="A64" s="3">
        <v>46149</v>
      </c>
      <c r="B64" s="2" t="s">
        <v>107</v>
      </c>
      <c r="C64" s="2" t="s">
        <v>108</v>
      </c>
      <c r="D64" s="2" t="s">
        <v>109</v>
      </c>
      <c r="E64" s="2" t="s">
        <v>109</v>
      </c>
      <c r="F64" s="2" t="s">
        <v>112</v>
      </c>
      <c r="G64" s="2">
        <v>-454.55</v>
      </c>
      <c r="H64" s="2">
        <v>0</v>
      </c>
      <c r="I64" s="4">
        <v>46150.1338773148</v>
      </c>
      <c r="J64" s="2" t="s">
        <v>43</v>
      </c>
    </row>
    <row r="65" ht="16.8" spans="1:10">
      <c r="A65" s="3">
        <v>46149</v>
      </c>
      <c r="B65" s="2" t="s">
        <v>107</v>
      </c>
      <c r="C65" s="2" t="s">
        <v>108</v>
      </c>
      <c r="D65" s="2" t="s">
        <v>109</v>
      </c>
      <c r="E65" s="2" t="s">
        <v>109</v>
      </c>
      <c r="F65" s="2" t="s">
        <v>110</v>
      </c>
      <c r="G65" s="2">
        <v>-10535.99</v>
      </c>
      <c r="H65" s="2">
        <v>86186.69</v>
      </c>
      <c r="I65" s="4">
        <v>46150.1338773148</v>
      </c>
      <c r="J65" s="2" t="s">
        <v>43</v>
      </c>
    </row>
    <row r="66" ht="16.8" spans="1:10">
      <c r="A66" s="3">
        <v>46148</v>
      </c>
      <c r="B66" s="2" t="s">
        <v>107</v>
      </c>
      <c r="C66" s="2" t="s">
        <v>108</v>
      </c>
      <c r="D66" s="2" t="s">
        <v>109</v>
      </c>
      <c r="E66" s="2" t="s">
        <v>109</v>
      </c>
      <c r="F66" s="2" t="s">
        <v>110</v>
      </c>
      <c r="G66" s="2">
        <v>-11841.55</v>
      </c>
      <c r="H66" s="2">
        <v>96722.68</v>
      </c>
      <c r="I66" s="4">
        <v>46149.1234143519</v>
      </c>
      <c r="J66" s="2" t="s">
        <v>43</v>
      </c>
    </row>
    <row r="67" ht="16.8" spans="1:10">
      <c r="A67" s="3">
        <v>46147</v>
      </c>
      <c r="B67" s="2" t="s">
        <v>107</v>
      </c>
      <c r="C67" s="2" t="s">
        <v>108</v>
      </c>
      <c r="D67" s="2" t="s">
        <v>109</v>
      </c>
      <c r="E67" s="2" t="s">
        <v>109</v>
      </c>
      <c r="F67" s="2" t="s">
        <v>110</v>
      </c>
      <c r="G67" s="2">
        <v>-11519.96</v>
      </c>
      <c r="H67" s="2">
        <v>108564.23</v>
      </c>
      <c r="I67" s="4">
        <v>46148.1268981481</v>
      </c>
      <c r="J67" s="2" t="s">
        <v>43</v>
      </c>
    </row>
    <row r="68" ht="16.8" spans="1:10">
      <c r="A68" s="3">
        <v>46146</v>
      </c>
      <c r="B68" s="2" t="s">
        <v>107</v>
      </c>
      <c r="C68" s="2" t="s">
        <v>108</v>
      </c>
      <c r="D68" s="2" t="s">
        <v>109</v>
      </c>
      <c r="E68" s="2" t="s">
        <v>109</v>
      </c>
      <c r="F68" s="2" t="s">
        <v>111</v>
      </c>
      <c r="G68" s="2">
        <v>-2827.23</v>
      </c>
      <c r="H68" s="2">
        <v>0</v>
      </c>
      <c r="I68" s="4">
        <v>46147.1234027778</v>
      </c>
      <c r="J68" s="2" t="s">
        <v>43</v>
      </c>
    </row>
    <row r="69" ht="16.8" spans="1:10">
      <c r="A69" s="3">
        <v>46146</v>
      </c>
      <c r="B69" s="2" t="s">
        <v>107</v>
      </c>
      <c r="C69" s="2" t="s">
        <v>108</v>
      </c>
      <c r="D69" s="2" t="s">
        <v>109</v>
      </c>
      <c r="E69" s="2" t="s">
        <v>109</v>
      </c>
      <c r="F69" s="2" t="s">
        <v>110</v>
      </c>
      <c r="G69" s="2">
        <v>-7606.42</v>
      </c>
      <c r="H69" s="2">
        <v>120084.19</v>
      </c>
      <c r="I69" s="4">
        <v>46147.1234027778</v>
      </c>
      <c r="J69" s="2" t="s">
        <v>43</v>
      </c>
    </row>
    <row r="70" ht="16.8" spans="1:10">
      <c r="A70" s="3">
        <v>46145</v>
      </c>
      <c r="B70" s="2" t="s">
        <v>107</v>
      </c>
      <c r="C70" s="2" t="s">
        <v>108</v>
      </c>
      <c r="D70" s="2" t="s">
        <v>109</v>
      </c>
      <c r="E70" s="2" t="s">
        <v>109</v>
      </c>
      <c r="F70" s="2" t="s">
        <v>111</v>
      </c>
      <c r="G70" s="2">
        <v>-10437.84</v>
      </c>
      <c r="H70" s="2">
        <v>2827.23</v>
      </c>
      <c r="I70" s="4">
        <v>46146.1233680556</v>
      </c>
      <c r="J70" s="2" t="s">
        <v>43</v>
      </c>
    </row>
    <row r="71" ht="16.8" spans="1:10">
      <c r="A71" s="3">
        <v>46144</v>
      </c>
      <c r="B71" s="2" t="s">
        <v>107</v>
      </c>
      <c r="C71" s="2" t="s">
        <v>108</v>
      </c>
      <c r="D71" s="2" t="s">
        <v>109</v>
      </c>
      <c r="E71" s="2" t="s">
        <v>109</v>
      </c>
      <c r="F71" s="2" t="s">
        <v>111</v>
      </c>
      <c r="G71" s="2">
        <v>-10374.91</v>
      </c>
      <c r="H71" s="2">
        <v>13265.07</v>
      </c>
      <c r="I71" s="4">
        <v>46145.1199652778</v>
      </c>
      <c r="J71" s="2" t="s">
        <v>43</v>
      </c>
    </row>
    <row r="72" ht="16.8" spans="1:10">
      <c r="A72" s="3">
        <v>46143</v>
      </c>
      <c r="B72" s="2" t="s">
        <v>107</v>
      </c>
      <c r="C72" s="2" t="s">
        <v>108</v>
      </c>
      <c r="D72" s="2" t="s">
        <v>109</v>
      </c>
      <c r="E72" s="2" t="s">
        <v>109</v>
      </c>
      <c r="F72" s="2" t="s">
        <v>111</v>
      </c>
      <c r="G72" s="2">
        <v>-9722.37</v>
      </c>
      <c r="H72" s="2">
        <v>23639.98</v>
      </c>
      <c r="I72" s="4">
        <v>46144.1199421296</v>
      </c>
      <c r="J72" s="2" t="s">
        <v>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8"/>
  <sheetViews>
    <sheetView workbookViewId="0">
      <selection activeCell="A1" sqref="A1"/>
    </sheetView>
  </sheetViews>
  <sheetFormatPr defaultColWidth="14" defaultRowHeight="15.2"/>
  <sheetData>
    <row r="1" ht="16.8" spans="1:10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 ht="16.8" spans="1:10">
      <c r="A2" s="3" t="s">
        <v>106</v>
      </c>
      <c r="B2" s="2"/>
      <c r="C2" s="2"/>
      <c r="D2" s="2" t="s">
        <v>43</v>
      </c>
      <c r="E2" s="2" t="s">
        <v>43</v>
      </c>
      <c r="F2" s="2" t="s">
        <v>43</v>
      </c>
      <c r="G2" s="2">
        <v>-52927.57</v>
      </c>
      <c r="H2" s="2" t="s">
        <v>43</v>
      </c>
      <c r="I2" s="4" t="s">
        <v>43</v>
      </c>
      <c r="J2" s="2" t="s">
        <v>43</v>
      </c>
    </row>
    <row r="3" ht="16.8" spans="1:10">
      <c r="A3" s="3">
        <v>46167</v>
      </c>
      <c r="B3" s="2" t="s">
        <v>114</v>
      </c>
      <c r="C3" s="2" t="s">
        <v>108</v>
      </c>
      <c r="D3" s="2" t="s">
        <v>109</v>
      </c>
      <c r="E3" s="2" t="s">
        <v>109</v>
      </c>
      <c r="F3" s="2" t="s">
        <v>110</v>
      </c>
      <c r="G3" s="2">
        <v>-9.7</v>
      </c>
      <c r="H3" s="2">
        <v>47072.43</v>
      </c>
      <c r="I3" s="4">
        <v>46168.1431597222</v>
      </c>
      <c r="J3" s="2" t="s">
        <v>43</v>
      </c>
    </row>
    <row r="4" ht="16.8" spans="1:10">
      <c r="A4" s="3">
        <v>46162</v>
      </c>
      <c r="B4" s="2" t="s">
        <v>114</v>
      </c>
      <c r="C4" s="2" t="s">
        <v>108</v>
      </c>
      <c r="D4" s="2" t="s">
        <v>109</v>
      </c>
      <c r="E4" s="2" t="s">
        <v>109</v>
      </c>
      <c r="F4" s="2" t="s">
        <v>110</v>
      </c>
      <c r="G4" s="2">
        <v>-5104.69</v>
      </c>
      <c r="H4" s="2">
        <v>47082.13</v>
      </c>
      <c r="I4" s="4">
        <v>46163.1454050926</v>
      </c>
      <c r="J4" s="2" t="s">
        <v>43</v>
      </c>
    </row>
    <row r="5" ht="16.8" spans="1:10">
      <c r="A5" s="3">
        <v>46161</v>
      </c>
      <c r="B5" s="2" t="s">
        <v>114</v>
      </c>
      <c r="C5" s="2" t="s">
        <v>108</v>
      </c>
      <c r="D5" s="2" t="s">
        <v>109</v>
      </c>
      <c r="E5" s="2" t="s">
        <v>109</v>
      </c>
      <c r="F5" s="2" t="s">
        <v>110</v>
      </c>
      <c r="G5" s="2">
        <v>-5062.59</v>
      </c>
      <c r="H5" s="2">
        <v>52186.82</v>
      </c>
      <c r="I5" s="4">
        <v>46162.1375347222</v>
      </c>
      <c r="J5" s="2" t="s">
        <v>43</v>
      </c>
    </row>
    <row r="6" ht="16.8" spans="1:10">
      <c r="A6" s="3">
        <v>46160</v>
      </c>
      <c r="B6" s="2" t="s">
        <v>114</v>
      </c>
      <c r="C6" s="2" t="s">
        <v>108</v>
      </c>
      <c r="D6" s="2" t="s">
        <v>109</v>
      </c>
      <c r="E6" s="2" t="s">
        <v>109</v>
      </c>
      <c r="F6" s="2" t="s">
        <v>110</v>
      </c>
      <c r="G6" s="2">
        <v>-5187.57</v>
      </c>
      <c r="H6" s="2">
        <v>57249.41</v>
      </c>
      <c r="I6" s="4">
        <v>46161.1360185185</v>
      </c>
      <c r="J6" s="2" t="s">
        <v>43</v>
      </c>
    </row>
    <row r="7" ht="16.8" spans="1:10">
      <c r="A7" s="3">
        <v>46159</v>
      </c>
      <c r="B7" s="2" t="s">
        <v>114</v>
      </c>
      <c r="C7" s="2" t="s">
        <v>108</v>
      </c>
      <c r="D7" s="2" t="s">
        <v>109</v>
      </c>
      <c r="E7" s="2" t="s">
        <v>109</v>
      </c>
      <c r="F7" s="2" t="s">
        <v>110</v>
      </c>
      <c r="G7" s="2">
        <v>-5025.58</v>
      </c>
      <c r="H7" s="2">
        <v>62436.98</v>
      </c>
      <c r="I7" s="4">
        <v>46160.1371759259</v>
      </c>
      <c r="J7" s="2" t="s">
        <v>43</v>
      </c>
    </row>
    <row r="8" ht="16.8" spans="1:10">
      <c r="A8" s="3">
        <v>46158</v>
      </c>
      <c r="B8" s="2" t="s">
        <v>114</v>
      </c>
      <c r="C8" s="2" t="s">
        <v>108</v>
      </c>
      <c r="D8" s="2" t="s">
        <v>109</v>
      </c>
      <c r="E8" s="2" t="s">
        <v>109</v>
      </c>
      <c r="F8" s="2" t="s">
        <v>110</v>
      </c>
      <c r="G8" s="2">
        <v>-5071.64</v>
      </c>
      <c r="H8" s="2">
        <v>67462.56</v>
      </c>
      <c r="I8" s="4">
        <v>46159.1471064815</v>
      </c>
      <c r="J8" s="2" t="s">
        <v>43</v>
      </c>
    </row>
    <row r="9" ht="16.8" spans="1:10">
      <c r="A9" s="3">
        <v>46157</v>
      </c>
      <c r="B9" s="2" t="s">
        <v>114</v>
      </c>
      <c r="C9" s="2" t="s">
        <v>108</v>
      </c>
      <c r="D9" s="2" t="s">
        <v>109</v>
      </c>
      <c r="E9" s="2" t="s">
        <v>109</v>
      </c>
      <c r="F9" s="2" t="s">
        <v>110</v>
      </c>
      <c r="G9" s="2">
        <v>-5019.27</v>
      </c>
      <c r="H9" s="2">
        <v>72534.2</v>
      </c>
      <c r="I9" s="4">
        <v>46158.1395717593</v>
      </c>
      <c r="J9" s="2" t="s">
        <v>43</v>
      </c>
    </row>
    <row r="10" ht="16.8" spans="1:10">
      <c r="A10" s="3">
        <v>46156</v>
      </c>
      <c r="B10" s="2" t="s">
        <v>114</v>
      </c>
      <c r="C10" s="2" t="s">
        <v>108</v>
      </c>
      <c r="D10" s="2" t="s">
        <v>109</v>
      </c>
      <c r="E10" s="2" t="s">
        <v>109</v>
      </c>
      <c r="F10" s="2" t="s">
        <v>110</v>
      </c>
      <c r="G10" s="2">
        <v>-5189.98</v>
      </c>
      <c r="H10" s="2">
        <v>77553.47</v>
      </c>
      <c r="I10" s="4">
        <v>46157.1497800926</v>
      </c>
      <c r="J10" s="2" t="s">
        <v>43</v>
      </c>
    </row>
    <row r="11" ht="16.8" spans="1:10">
      <c r="A11" s="3">
        <v>46155</v>
      </c>
      <c r="B11" s="2" t="s">
        <v>114</v>
      </c>
      <c r="C11" s="2" t="s">
        <v>108</v>
      </c>
      <c r="D11" s="2" t="s">
        <v>109</v>
      </c>
      <c r="E11" s="2" t="s">
        <v>109</v>
      </c>
      <c r="F11" s="2" t="s">
        <v>110</v>
      </c>
      <c r="G11" s="2">
        <v>-6014.69</v>
      </c>
      <c r="H11" s="2">
        <v>82743.45</v>
      </c>
      <c r="I11" s="4">
        <v>46156.134224537</v>
      </c>
      <c r="J11" s="2" t="s">
        <v>43</v>
      </c>
    </row>
    <row r="12" ht="16.8" spans="1:10">
      <c r="A12" s="3">
        <v>46154</v>
      </c>
      <c r="B12" s="2" t="s">
        <v>114</v>
      </c>
      <c r="C12" s="2" t="s">
        <v>108</v>
      </c>
      <c r="D12" s="2" t="s">
        <v>109</v>
      </c>
      <c r="E12" s="2" t="s">
        <v>109</v>
      </c>
      <c r="F12" s="2" t="s">
        <v>110</v>
      </c>
      <c r="G12" s="2">
        <v>-2085.47</v>
      </c>
      <c r="H12" s="2">
        <v>8758.14</v>
      </c>
      <c r="I12" s="4">
        <v>46155.1415740741</v>
      </c>
      <c r="J12" s="2" t="s">
        <v>43</v>
      </c>
    </row>
    <row r="13" ht="16.8" spans="1:10">
      <c r="A13" s="3">
        <v>46153</v>
      </c>
      <c r="B13" s="2" t="s">
        <v>114</v>
      </c>
      <c r="C13" s="2" t="s">
        <v>108</v>
      </c>
      <c r="D13" s="2" t="s">
        <v>109</v>
      </c>
      <c r="E13" s="2" t="s">
        <v>109</v>
      </c>
      <c r="F13" s="2" t="s">
        <v>110</v>
      </c>
      <c r="G13" s="2">
        <v>-1013.56</v>
      </c>
      <c r="H13" s="2">
        <v>10843.61</v>
      </c>
      <c r="I13" s="4">
        <v>46154.1356134259</v>
      </c>
      <c r="J13" s="2" t="s">
        <v>43</v>
      </c>
    </row>
    <row r="14" ht="16.8" spans="1:10">
      <c r="A14" s="3">
        <v>46152</v>
      </c>
      <c r="B14" s="2" t="s">
        <v>114</v>
      </c>
      <c r="C14" s="2" t="s">
        <v>108</v>
      </c>
      <c r="D14" s="2" t="s">
        <v>109</v>
      </c>
      <c r="E14" s="2" t="s">
        <v>109</v>
      </c>
      <c r="F14" s="2" t="s">
        <v>110</v>
      </c>
      <c r="G14" s="2">
        <v>-1014.67</v>
      </c>
      <c r="H14" s="2">
        <v>11857.17</v>
      </c>
      <c r="I14" s="4">
        <v>46153.1400578704</v>
      </c>
      <c r="J14" s="2" t="s">
        <v>43</v>
      </c>
    </row>
    <row r="15" ht="16.8" spans="1:10">
      <c r="A15" s="3">
        <v>46151</v>
      </c>
      <c r="B15" s="2" t="s">
        <v>114</v>
      </c>
      <c r="C15" s="2" t="s">
        <v>108</v>
      </c>
      <c r="D15" s="2" t="s">
        <v>109</v>
      </c>
      <c r="E15" s="2" t="s">
        <v>109</v>
      </c>
      <c r="F15" s="2" t="s">
        <v>110</v>
      </c>
      <c r="G15" s="2">
        <v>-1090.57</v>
      </c>
      <c r="H15" s="2">
        <v>12871.84</v>
      </c>
      <c r="I15" s="4">
        <v>46152.137962963</v>
      </c>
      <c r="J15" s="2" t="s">
        <v>43</v>
      </c>
    </row>
    <row r="16" ht="16.8" spans="1:10">
      <c r="A16" s="3">
        <v>46150</v>
      </c>
      <c r="B16" s="2" t="s">
        <v>114</v>
      </c>
      <c r="C16" s="2" t="s">
        <v>108</v>
      </c>
      <c r="D16" s="2" t="s">
        <v>109</v>
      </c>
      <c r="E16" s="2" t="s">
        <v>109</v>
      </c>
      <c r="F16" s="2" t="s">
        <v>110</v>
      </c>
      <c r="G16" s="2">
        <v>-2007.08</v>
      </c>
      <c r="H16" s="2">
        <v>13962.41</v>
      </c>
      <c r="I16" s="4">
        <v>46151.1410416667</v>
      </c>
      <c r="J16" s="2" t="s">
        <v>43</v>
      </c>
    </row>
    <row r="17" ht="16.8" spans="1:10">
      <c r="A17" s="3">
        <v>46149</v>
      </c>
      <c r="B17" s="2" t="s">
        <v>114</v>
      </c>
      <c r="C17" s="2" t="s">
        <v>108</v>
      </c>
      <c r="D17" s="2" t="s">
        <v>109</v>
      </c>
      <c r="E17" s="2" t="s">
        <v>109</v>
      </c>
      <c r="F17" s="2" t="s">
        <v>110</v>
      </c>
      <c r="G17" s="2">
        <v>-2012.21</v>
      </c>
      <c r="H17" s="2">
        <v>15969.49</v>
      </c>
      <c r="I17" s="4">
        <v>46150.1521990741</v>
      </c>
      <c r="J17" s="2" t="s">
        <v>43</v>
      </c>
    </row>
    <row r="18" ht="16.8" spans="1:10">
      <c r="A18" s="3">
        <v>46148</v>
      </c>
      <c r="B18" s="2" t="s">
        <v>114</v>
      </c>
      <c r="C18" s="2" t="s">
        <v>108</v>
      </c>
      <c r="D18" s="2" t="s">
        <v>109</v>
      </c>
      <c r="E18" s="2" t="s">
        <v>109</v>
      </c>
      <c r="F18" s="2" t="s">
        <v>110</v>
      </c>
      <c r="G18" s="2">
        <v>-2018.3</v>
      </c>
      <c r="H18" s="2">
        <v>17981.7</v>
      </c>
      <c r="I18" s="4">
        <v>46149.1392939815</v>
      </c>
      <c r="J18" s="2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7"/>
  <sheetViews>
    <sheetView workbookViewId="0">
      <selection activeCell="A1" sqref="A1"/>
    </sheetView>
  </sheetViews>
  <sheetFormatPr defaultColWidth="14" defaultRowHeight="15.2"/>
  <sheetData>
    <row r="1" ht="16.8" spans="1:10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 ht="16.8" spans="1:10">
      <c r="A2" s="2" t="s">
        <v>106</v>
      </c>
      <c r="B2" s="2"/>
      <c r="C2" s="2"/>
      <c r="D2" s="2" t="s">
        <v>43</v>
      </c>
      <c r="E2" s="2" t="s">
        <v>43</v>
      </c>
      <c r="F2" s="2" t="s">
        <v>43</v>
      </c>
      <c r="G2" s="2">
        <v>1073.31</v>
      </c>
      <c r="H2" s="2" t="s">
        <v>43</v>
      </c>
      <c r="I2" s="2" t="s">
        <v>43</v>
      </c>
      <c r="J2" s="2" t="s">
        <v>43</v>
      </c>
    </row>
    <row r="3" ht="16.8" spans="1:10">
      <c r="A3" s="3">
        <v>46189</v>
      </c>
      <c r="B3" s="2" t="s">
        <v>107</v>
      </c>
      <c r="C3" s="2" t="s">
        <v>108</v>
      </c>
      <c r="D3" s="2" t="s">
        <v>115</v>
      </c>
      <c r="E3" s="2" t="s">
        <v>116</v>
      </c>
      <c r="F3" s="2" t="s">
        <v>112</v>
      </c>
      <c r="G3" s="2">
        <v>113.63</v>
      </c>
      <c r="H3" s="2">
        <v>170.81</v>
      </c>
      <c r="I3" s="4">
        <v>46189.7514351852</v>
      </c>
      <c r="J3" s="2" t="s">
        <v>117</v>
      </c>
    </row>
    <row r="4" ht="16.8" spans="1:10">
      <c r="A4" s="3">
        <v>46189</v>
      </c>
      <c r="B4" s="2" t="s">
        <v>107</v>
      </c>
      <c r="C4" s="2" t="s">
        <v>108</v>
      </c>
      <c r="D4" s="2" t="s">
        <v>115</v>
      </c>
      <c r="E4" s="2" t="s">
        <v>116</v>
      </c>
      <c r="F4" s="2" t="s">
        <v>112</v>
      </c>
      <c r="G4" s="2">
        <v>11.73</v>
      </c>
      <c r="H4" s="2">
        <v>57.18</v>
      </c>
      <c r="I4" s="4">
        <v>46189.7514351852</v>
      </c>
      <c r="J4" s="2" t="s">
        <v>118</v>
      </c>
    </row>
    <row r="5" ht="16.8" spans="1:10">
      <c r="A5" s="3">
        <v>46189</v>
      </c>
      <c r="B5" s="2" t="s">
        <v>107</v>
      </c>
      <c r="C5" s="2" t="s">
        <v>108</v>
      </c>
      <c r="D5" s="2" t="s">
        <v>115</v>
      </c>
      <c r="E5" s="2" t="s">
        <v>116</v>
      </c>
      <c r="F5" s="2" t="s">
        <v>112</v>
      </c>
      <c r="G5" s="2">
        <v>21.85</v>
      </c>
      <c r="H5" s="2">
        <v>45.45</v>
      </c>
      <c r="I5" s="4">
        <v>46189.7514236111</v>
      </c>
      <c r="J5" s="2" t="s">
        <v>119</v>
      </c>
    </row>
    <row r="6" ht="16.8" spans="1:10">
      <c r="A6" s="3">
        <v>46189</v>
      </c>
      <c r="B6" s="2" t="s">
        <v>107</v>
      </c>
      <c r="C6" s="2" t="s">
        <v>108</v>
      </c>
      <c r="D6" s="2" t="s">
        <v>115</v>
      </c>
      <c r="E6" s="2" t="s">
        <v>116</v>
      </c>
      <c r="F6" s="2" t="s">
        <v>112</v>
      </c>
      <c r="G6" s="2">
        <v>23.6</v>
      </c>
      <c r="H6" s="2">
        <v>23.6</v>
      </c>
      <c r="I6" s="4">
        <v>46189.7514236111</v>
      </c>
      <c r="J6" s="2" t="s">
        <v>120</v>
      </c>
    </row>
    <row r="7" ht="16.8" spans="1:10">
      <c r="A7" s="3">
        <v>46177</v>
      </c>
      <c r="B7" s="2" t="s">
        <v>107</v>
      </c>
      <c r="C7" s="2" t="s">
        <v>108</v>
      </c>
      <c r="D7" s="2" t="s">
        <v>115</v>
      </c>
      <c r="E7" s="2" t="s">
        <v>121</v>
      </c>
      <c r="F7" s="2" t="s">
        <v>113</v>
      </c>
      <c r="G7" s="2">
        <v>72.95</v>
      </c>
      <c r="H7" s="2">
        <v>425.85</v>
      </c>
      <c r="I7" s="4">
        <v>46177.8470601852</v>
      </c>
      <c r="J7" s="2" t="s">
        <v>122</v>
      </c>
    </row>
    <row r="8" ht="16.8" spans="1:10">
      <c r="A8" s="3">
        <v>46177</v>
      </c>
      <c r="B8" s="2" t="s">
        <v>107</v>
      </c>
      <c r="C8" s="2" t="s">
        <v>108</v>
      </c>
      <c r="D8" s="2" t="s">
        <v>115</v>
      </c>
      <c r="E8" s="2" t="s">
        <v>116</v>
      </c>
      <c r="F8" s="2" t="s">
        <v>113</v>
      </c>
      <c r="G8" s="2">
        <v>294.24</v>
      </c>
      <c r="H8" s="2">
        <v>352.9</v>
      </c>
      <c r="I8" s="4">
        <v>46177.8470486111</v>
      </c>
      <c r="J8" s="2" t="s">
        <v>122</v>
      </c>
    </row>
    <row r="9" ht="16.8" spans="1:10">
      <c r="A9" s="3">
        <v>46177</v>
      </c>
      <c r="B9" s="2" t="s">
        <v>107</v>
      </c>
      <c r="C9" s="2" t="s">
        <v>108</v>
      </c>
      <c r="D9" s="2" t="s">
        <v>115</v>
      </c>
      <c r="E9" s="2" t="s">
        <v>121</v>
      </c>
      <c r="F9" s="2" t="s">
        <v>113</v>
      </c>
      <c r="G9" s="2">
        <v>58.66</v>
      </c>
      <c r="H9" s="2">
        <v>58.66</v>
      </c>
      <c r="I9" s="4">
        <v>46177.8470486111</v>
      </c>
      <c r="J9" s="2" t="s">
        <v>122</v>
      </c>
    </row>
    <row r="10" ht="16.8" spans="1:10">
      <c r="A10" s="3">
        <v>46168</v>
      </c>
      <c r="B10" s="2" t="s">
        <v>107</v>
      </c>
      <c r="C10" s="2" t="s">
        <v>108</v>
      </c>
      <c r="D10" s="2" t="s">
        <v>115</v>
      </c>
      <c r="E10" s="2" t="s">
        <v>116</v>
      </c>
      <c r="F10" s="2" t="s">
        <v>112</v>
      </c>
      <c r="G10" s="2">
        <v>20.57</v>
      </c>
      <c r="H10" s="2">
        <v>20.57</v>
      </c>
      <c r="I10" s="4">
        <v>46168.7518055556</v>
      </c>
      <c r="J10" s="2" t="s">
        <v>123</v>
      </c>
    </row>
    <row r="11" ht="16.8" spans="1:10">
      <c r="A11" s="3">
        <v>46163</v>
      </c>
      <c r="B11" s="2" t="s">
        <v>107</v>
      </c>
      <c r="C11" s="2" t="s">
        <v>108</v>
      </c>
      <c r="D11" s="2" t="s">
        <v>115</v>
      </c>
      <c r="E11" s="2" t="s">
        <v>116</v>
      </c>
      <c r="F11" s="2" t="s">
        <v>112</v>
      </c>
      <c r="G11" s="2">
        <v>1.53</v>
      </c>
      <c r="H11" s="2">
        <v>1.53</v>
      </c>
      <c r="I11" s="4">
        <v>46163.7533333333</v>
      </c>
      <c r="J11" s="2" t="s">
        <v>124</v>
      </c>
    </row>
    <row r="12" ht="16.8" spans="1:10">
      <c r="A12" s="3">
        <v>46149</v>
      </c>
      <c r="B12" s="2" t="s">
        <v>107</v>
      </c>
      <c r="C12" s="2" t="s">
        <v>108</v>
      </c>
      <c r="D12" s="2" t="s">
        <v>115</v>
      </c>
      <c r="E12" s="2" t="s">
        <v>116</v>
      </c>
      <c r="F12" s="2" t="s">
        <v>112</v>
      </c>
      <c r="G12" s="2">
        <v>23.72</v>
      </c>
      <c r="H12" s="2">
        <v>454.55</v>
      </c>
      <c r="I12" s="4">
        <v>46149.7531365741</v>
      </c>
      <c r="J12" s="2" t="s">
        <v>125</v>
      </c>
    </row>
    <row r="13" ht="16.8" spans="1:10">
      <c r="A13" s="3">
        <v>46149</v>
      </c>
      <c r="B13" s="2" t="s">
        <v>107</v>
      </c>
      <c r="C13" s="2" t="s">
        <v>108</v>
      </c>
      <c r="D13" s="2" t="s">
        <v>115</v>
      </c>
      <c r="E13" s="2" t="s">
        <v>116</v>
      </c>
      <c r="F13" s="2" t="s">
        <v>112</v>
      </c>
      <c r="G13" s="2">
        <v>128.32</v>
      </c>
      <c r="H13" s="2">
        <v>430.83</v>
      </c>
      <c r="I13" s="4">
        <v>46149.7531365741</v>
      </c>
      <c r="J13" s="2" t="s">
        <v>126</v>
      </c>
    </row>
    <row r="14" ht="16.8" spans="1:10">
      <c r="A14" s="3">
        <v>46149</v>
      </c>
      <c r="B14" s="2" t="s">
        <v>107</v>
      </c>
      <c r="C14" s="2" t="s">
        <v>108</v>
      </c>
      <c r="D14" s="2" t="s">
        <v>115</v>
      </c>
      <c r="E14" s="2" t="s">
        <v>116</v>
      </c>
      <c r="F14" s="2" t="s">
        <v>112</v>
      </c>
      <c r="G14" s="2">
        <v>69.64</v>
      </c>
      <c r="H14" s="2">
        <v>302.51</v>
      </c>
      <c r="I14" s="4">
        <v>46149.753125</v>
      </c>
      <c r="J14" s="2" t="s">
        <v>127</v>
      </c>
    </row>
    <row r="15" ht="16.8" spans="1:10">
      <c r="A15" s="3">
        <v>46149</v>
      </c>
      <c r="B15" s="2" t="s">
        <v>107</v>
      </c>
      <c r="C15" s="2" t="s">
        <v>108</v>
      </c>
      <c r="D15" s="2" t="s">
        <v>115</v>
      </c>
      <c r="E15" s="2" t="s">
        <v>116</v>
      </c>
      <c r="F15" s="2" t="s">
        <v>112</v>
      </c>
      <c r="G15" s="2">
        <v>91.28</v>
      </c>
      <c r="H15" s="2">
        <v>232.87</v>
      </c>
      <c r="I15" s="4">
        <v>46149.753125</v>
      </c>
      <c r="J15" s="2" t="s">
        <v>128</v>
      </c>
    </row>
    <row r="16" ht="16.8" spans="1:10">
      <c r="A16" s="3">
        <v>46149</v>
      </c>
      <c r="B16" s="2" t="s">
        <v>107</v>
      </c>
      <c r="C16" s="2" t="s">
        <v>108</v>
      </c>
      <c r="D16" s="2" t="s">
        <v>115</v>
      </c>
      <c r="E16" s="2" t="s">
        <v>116</v>
      </c>
      <c r="F16" s="2" t="s">
        <v>112</v>
      </c>
      <c r="G16" s="2">
        <v>17.46</v>
      </c>
      <c r="H16" s="2">
        <v>141.59</v>
      </c>
      <c r="I16" s="4">
        <v>46149.7530902778</v>
      </c>
      <c r="J16" s="2" t="s">
        <v>129</v>
      </c>
    </row>
    <row r="17" ht="16.8" spans="1:10">
      <c r="A17" s="3">
        <v>46149</v>
      </c>
      <c r="B17" s="2" t="s">
        <v>107</v>
      </c>
      <c r="C17" s="2" t="s">
        <v>108</v>
      </c>
      <c r="D17" s="2" t="s">
        <v>115</v>
      </c>
      <c r="E17" s="2" t="s">
        <v>116</v>
      </c>
      <c r="F17" s="2" t="s">
        <v>112</v>
      </c>
      <c r="G17" s="2">
        <v>124.13</v>
      </c>
      <c r="H17" s="2">
        <v>124.13</v>
      </c>
      <c r="I17" s="4">
        <v>46149.7530787037</v>
      </c>
      <c r="J17" s="2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广告发布确认单-汇总</vt:lpstr>
      <vt:lpstr>618报备博主下单-热能环浴霸</vt:lpstr>
      <vt:lpstr>618报备博主下单-音乐热能环浴霸</vt:lpstr>
      <vt:lpstr>618报备博主下单-美容舱浴霸</vt:lpstr>
      <vt:lpstr>618报备博主代下单-美容舱浴霸</vt:lpstr>
      <vt:lpstr>效果广告投放</vt:lpstr>
      <vt:lpstr>CID投放</vt:lpstr>
      <vt:lpstr>5.1-6.30赔付返货明细		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陈_文龙</cp:lastModifiedBy>
  <dcterms:created xsi:type="dcterms:W3CDTF">2026-07-02T15:23:11Z</dcterms:created>
  <dcterms:modified xsi:type="dcterms:W3CDTF">2026-07-02T16:52:31Z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430E3D18F1ADF67E1212466AA74A22C1_42</vt:lpwstr>
  </property>
  <property fmtid="{D5CDD505-2E9C-101B-9397-08002B2CF9AE}" pid="3" name="KSOProductBuildVer">
    <vt:lpwstr>2052-6.15.1.8935</vt:lpwstr>
  </property>
</Properties>
</file>